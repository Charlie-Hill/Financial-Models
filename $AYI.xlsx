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tocks\"/>
    </mc:Choice>
  </mc:AlternateContent>
  <xr:revisionPtr revIDLastSave="0" documentId="13_ncr:1_{50B49991-6018-42F5-BB89-8304135DD34E}" xr6:coauthVersionLast="47" xr6:coauthVersionMax="47" xr10:uidLastSave="{00000000-0000-0000-0000-000000000000}"/>
  <bookViews>
    <workbookView xWindow="-120" yWindow="-120" windowWidth="29040" windowHeight="15720" activeTab="1" xr2:uid="{4CE7F5DC-499F-40D8-A7D4-BEAA35188EE8}"/>
  </bookViews>
  <sheets>
    <sheet name="Main" sheetId="1" r:id="rId1"/>
    <sheet name="Financial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1" l="1"/>
  <c r="C34" i="1"/>
  <c r="C10" i="1"/>
  <c r="C9" i="1"/>
  <c r="C7" i="1"/>
  <c r="C8" i="1" s="1"/>
  <c r="C35" i="1" s="1"/>
  <c r="M80" i="2"/>
  <c r="N80" i="2"/>
  <c r="M79" i="2"/>
  <c r="N79" i="2"/>
  <c r="M78" i="2"/>
  <c r="N78" i="2"/>
  <c r="M77" i="2"/>
  <c r="N77" i="2"/>
  <c r="M76" i="2"/>
  <c r="N76" i="2"/>
  <c r="M74" i="2"/>
  <c r="N74" i="2"/>
  <c r="M73" i="2"/>
  <c r="N73" i="2"/>
  <c r="N33" i="2"/>
  <c r="N32" i="2"/>
  <c r="N9" i="2"/>
  <c r="N69" i="2"/>
  <c r="N68" i="2"/>
  <c r="N70" i="2" s="1"/>
  <c r="N65" i="2"/>
  <c r="N66" i="2" s="1"/>
  <c r="N63" i="2"/>
  <c r="N60" i="2"/>
  <c r="N54" i="2"/>
  <c r="N45" i="2"/>
  <c r="N42" i="2"/>
  <c r="N48" i="2" s="1"/>
  <c r="N34" i="2"/>
  <c r="N31" i="2"/>
  <c r="N14" i="2"/>
  <c r="N17" i="2" s="1"/>
  <c r="X21" i="2"/>
  <c r="X19" i="2"/>
  <c r="X18" i="2"/>
  <c r="X16" i="2"/>
  <c r="X15" i="2"/>
  <c r="X24" i="2"/>
  <c r="X13" i="2"/>
  <c r="W12" i="2"/>
  <c r="X12" i="2"/>
  <c r="J33" i="2"/>
  <c r="F9" i="2"/>
  <c r="J9" i="2"/>
  <c r="J32" i="2" s="1"/>
  <c r="G34" i="2"/>
  <c r="J34" i="2"/>
  <c r="K34" i="2"/>
  <c r="J31" i="2"/>
  <c r="F14" i="2"/>
  <c r="F17" i="2" s="1"/>
  <c r="F20" i="2" s="1"/>
  <c r="F22" i="2" s="1"/>
  <c r="F23" i="2" s="1"/>
  <c r="J14" i="2"/>
  <c r="J17" i="2" s="1"/>
  <c r="J20" i="2" s="1"/>
  <c r="J22" i="2" s="1"/>
  <c r="J23" i="2" s="1"/>
  <c r="K33" i="2"/>
  <c r="G9" i="2"/>
  <c r="K9" i="2"/>
  <c r="H34" i="2"/>
  <c r="L34" i="2"/>
  <c r="K31" i="2"/>
  <c r="G14" i="2"/>
  <c r="G17" i="2" s="1"/>
  <c r="G20" i="2" s="1"/>
  <c r="G22" i="2" s="1"/>
  <c r="G23" i="2" s="1"/>
  <c r="K14" i="2"/>
  <c r="K17" i="2" s="1"/>
  <c r="K20" i="2" s="1"/>
  <c r="K22" i="2" s="1"/>
  <c r="K23" i="2" s="1"/>
  <c r="L33" i="2"/>
  <c r="H9" i="2"/>
  <c r="L9" i="2"/>
  <c r="L32" i="2" s="1"/>
  <c r="I34" i="2"/>
  <c r="M34" i="2"/>
  <c r="L31" i="2"/>
  <c r="H14" i="2"/>
  <c r="H17" i="2" s="1"/>
  <c r="H20" i="2" s="1"/>
  <c r="H22" i="2" s="1"/>
  <c r="H23" i="2" s="1"/>
  <c r="L14" i="2"/>
  <c r="L17" i="2" s="1"/>
  <c r="L20" i="2" s="1"/>
  <c r="L22" i="2" s="1"/>
  <c r="L23" i="2" s="1"/>
  <c r="M33" i="2"/>
  <c r="I9" i="2"/>
  <c r="M9" i="2"/>
  <c r="M69" i="2"/>
  <c r="M68" i="2"/>
  <c r="M54" i="2"/>
  <c r="M60" i="2" s="1"/>
  <c r="M63" i="2" s="1"/>
  <c r="M42" i="2"/>
  <c r="M48" i="2" s="1"/>
  <c r="M31" i="2"/>
  <c r="I14" i="2"/>
  <c r="I17" i="2" s="1"/>
  <c r="I20" i="2" s="1"/>
  <c r="I22" i="2" s="1"/>
  <c r="I23" i="2" s="1"/>
  <c r="M14" i="2"/>
  <c r="M26" i="2" s="1"/>
  <c r="X31" i="2" l="1"/>
  <c r="M32" i="2"/>
  <c r="J26" i="2"/>
  <c r="J27" i="2"/>
  <c r="J28" i="2"/>
  <c r="J29" i="2"/>
  <c r="H28" i="2"/>
  <c r="H29" i="2"/>
  <c r="G27" i="2"/>
  <c r="H27" i="2"/>
  <c r="X14" i="2"/>
  <c r="X26" i="2" s="1"/>
  <c r="K27" i="2"/>
  <c r="K29" i="2"/>
  <c r="G26" i="2"/>
  <c r="G28" i="2"/>
  <c r="G29" i="2"/>
  <c r="L26" i="2"/>
  <c r="F27" i="2"/>
  <c r="K26" i="2"/>
  <c r="K28" i="2"/>
  <c r="K32" i="2"/>
  <c r="L27" i="2"/>
  <c r="L28" i="2"/>
  <c r="F26" i="2"/>
  <c r="L29" i="2"/>
  <c r="F28" i="2"/>
  <c r="H26" i="2"/>
  <c r="F29" i="2"/>
  <c r="N27" i="2"/>
  <c r="N20" i="2"/>
  <c r="N26" i="2"/>
  <c r="M65" i="2"/>
  <c r="M66" i="2" s="1"/>
  <c r="I26" i="2"/>
  <c r="I28" i="2"/>
  <c r="M17" i="2"/>
  <c r="I27" i="2"/>
  <c r="I29" i="2"/>
  <c r="M70" i="2"/>
  <c r="C11" i="1"/>
  <c r="C12" i="1" s="1"/>
  <c r="X17" i="2" l="1"/>
  <c r="X20" i="2" s="1"/>
  <c r="X27" i="2"/>
  <c r="N29" i="2"/>
  <c r="N22" i="2"/>
  <c r="M20" i="2"/>
  <c r="M27" i="2"/>
  <c r="X22" i="2" l="1"/>
  <c r="X29" i="2"/>
  <c r="N23" i="2"/>
  <c r="N28" i="2"/>
  <c r="M29" i="2"/>
  <c r="M22" i="2"/>
  <c r="X23" i="2" l="1"/>
  <c r="X28" i="2"/>
  <c r="M28" i="2"/>
  <c r="M23" i="2"/>
</calcChain>
</file>

<file path=xl/sharedStrings.xml><?xml version="1.0" encoding="utf-8"?>
<sst xmlns="http://schemas.openxmlformats.org/spreadsheetml/2006/main" count="131" uniqueCount="115">
  <si>
    <t>$AYI</t>
  </si>
  <si>
    <t>Acuity Brands Inc.</t>
  </si>
  <si>
    <t>Stock Snapshot</t>
  </si>
  <si>
    <t>Price</t>
  </si>
  <si>
    <t>Shares</t>
  </si>
  <si>
    <t>MC</t>
  </si>
  <si>
    <t>Cash</t>
  </si>
  <si>
    <t>Debt</t>
  </si>
  <si>
    <t>Net Cash</t>
  </si>
  <si>
    <t>EV</t>
  </si>
  <si>
    <t>Management</t>
  </si>
  <si>
    <t>CEO</t>
  </si>
  <si>
    <t>CFO</t>
  </si>
  <si>
    <t>COO</t>
  </si>
  <si>
    <t>Profile</t>
  </si>
  <si>
    <t>HQ</t>
  </si>
  <si>
    <t>Founded</t>
  </si>
  <si>
    <t>IPO</t>
  </si>
  <si>
    <t>Inventory</t>
  </si>
  <si>
    <t>Update</t>
  </si>
  <si>
    <t>IR</t>
  </si>
  <si>
    <t>Link</t>
  </si>
  <si>
    <t>Atlanta, GA</t>
  </si>
  <si>
    <t>Lighting &amp; control products</t>
  </si>
  <si>
    <t>FQ425</t>
  </si>
  <si>
    <t>Revenue</t>
  </si>
  <si>
    <t>COGS</t>
  </si>
  <si>
    <t>Gross Profit</t>
  </si>
  <si>
    <t>SD&amp;A</t>
  </si>
  <si>
    <t>Special Charges</t>
  </si>
  <si>
    <t>Operating Income</t>
  </si>
  <si>
    <t>Interest Expense</t>
  </si>
  <si>
    <t>Misc Expense</t>
  </si>
  <si>
    <t>Pretax Income</t>
  </si>
  <si>
    <t>Taxes</t>
  </si>
  <si>
    <t>Net Income</t>
  </si>
  <si>
    <t>EPS</t>
  </si>
  <si>
    <t>Gross Margin</t>
  </si>
  <si>
    <t>Operating Margin</t>
  </si>
  <si>
    <t>Net Margin</t>
  </si>
  <si>
    <t>Tax Rate</t>
  </si>
  <si>
    <t>Revenue Y/Y</t>
  </si>
  <si>
    <t>Revenue Q/Q</t>
  </si>
  <si>
    <t>FQ325</t>
  </si>
  <si>
    <t>FQ225</t>
  </si>
  <si>
    <t>FQ125</t>
  </si>
  <si>
    <t>FQ424</t>
  </si>
  <si>
    <t>FQ324</t>
  </si>
  <si>
    <t>FQ224</t>
  </si>
  <si>
    <t>FQ124</t>
  </si>
  <si>
    <t>Balance Sheet</t>
  </si>
  <si>
    <t>AR</t>
  </si>
  <si>
    <t>Inventories</t>
  </si>
  <si>
    <t>Prepayments &amp; OCA</t>
  </si>
  <si>
    <t>TCA</t>
  </si>
  <si>
    <t>PP&amp;E</t>
  </si>
  <si>
    <t>OLTA</t>
  </si>
  <si>
    <t>Assets</t>
  </si>
  <si>
    <t>A/P</t>
  </si>
  <si>
    <t>OCL</t>
  </si>
  <si>
    <t>TCL</t>
  </si>
  <si>
    <t>Long-Term Debt</t>
  </si>
  <si>
    <t>OLTL</t>
  </si>
  <si>
    <t>Liabilities</t>
  </si>
  <si>
    <t>S/E</t>
  </si>
  <si>
    <t>S/E+L</t>
  </si>
  <si>
    <t>Book Value</t>
  </si>
  <si>
    <t>Book Value per Share</t>
  </si>
  <si>
    <t>Share Price</t>
  </si>
  <si>
    <t>P/B</t>
  </si>
  <si>
    <t>P/S</t>
  </si>
  <si>
    <t>EV/S</t>
  </si>
  <si>
    <t>P/E</t>
  </si>
  <si>
    <t>EV/E</t>
  </si>
  <si>
    <t>Cashflow</t>
  </si>
  <si>
    <t>Independent Sales</t>
  </si>
  <si>
    <t>Direct Sales</t>
  </si>
  <si>
    <t>Retail Sales</t>
  </si>
  <si>
    <t>Corporate Accounts</t>
  </si>
  <si>
    <t>OEM &amp; Other</t>
  </si>
  <si>
    <t>Total Acuity Brands</t>
  </si>
  <si>
    <t>Acuity Intelligent Spaces</t>
  </si>
  <si>
    <t>Eliminations</t>
  </si>
  <si>
    <t>Acuity Brands Y/Y</t>
  </si>
  <si>
    <t>Acuity Intelligent Y/Y</t>
  </si>
  <si>
    <t>Valuation Metrics</t>
  </si>
  <si>
    <t>Product Lines</t>
  </si>
  <si>
    <t>Acuity Brands</t>
  </si>
  <si>
    <t>"smart buildings"</t>
  </si>
  <si>
    <t>lighting products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</si>
  <si>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</si>
  <si>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</si>
  <si>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</si>
  <si>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</si>
  <si>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</si>
  <si>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</si>
  <si>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</si>
  <si>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</si>
  <si>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</si>
  <si>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</si>
  <si>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</si>
  <si>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</si>
  <si>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</si>
  <si>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</si>
  <si>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FQ126</t>
  </si>
  <si>
    <t>Neil Ashe</t>
  </si>
  <si>
    <t>Operating Lease ROU</t>
  </si>
  <si>
    <t>Goodwill+Intangibles</t>
  </si>
  <si>
    <t>Deferred Taxes</t>
  </si>
  <si>
    <t>Accrued Compensation</t>
  </si>
  <si>
    <t>Current Operating Lease</t>
  </si>
  <si>
    <t>Accrued Pensions</t>
  </si>
  <si>
    <t>Deferred Income Taxes</t>
  </si>
  <si>
    <t>LT Operating Lease</t>
  </si>
  <si>
    <t>FQ226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</si>
</sst>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x"/>
    <numFmt numFmtId="165" formatCode="0.0\x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sz val="8"/>
      <color theme="1" tint="0.499984740745262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 tint="0.499984740745262"/>
      <name val="Arial"/>
      <family val="2"/>
    </font>
    <font>
      <sz val="8"/>
      <name val="Aptos Narrow"/>
      <family val="2"/>
      <scheme val="minor"/>
    </font>
    <font>
      <b/>
      <sz val="10"/>
      <color theme="1" tint="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4" xfId="0" applyFont="1" applyFill="1" applyBorder="1"/>
    <xf numFmtId="0" fontId="1" fillId="0" borderId="0" xfId="0" applyFont="1" applyBorder="1"/>
    <xf numFmtId="0" fontId="2" fillId="2" borderId="6" xfId="0" applyFont="1" applyFill="1" applyBorder="1"/>
    <xf numFmtId="3" fontId="1" fillId="0" borderId="0" xfId="0" applyNumberFormat="1" applyFont="1" applyBorder="1"/>
    <xf numFmtId="3" fontId="1" fillId="0" borderId="7" xfId="0" applyNumberFormat="1" applyFont="1" applyBorder="1"/>
    <xf numFmtId="0" fontId="1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4" borderId="4" xfId="0" applyFont="1" applyFill="1" applyBorder="1" applyAlignment="1">
      <alignment horizontal="center"/>
    </xf>
    <xf numFmtId="0" fontId="1" fillId="4" borderId="0" xfId="0" applyFont="1" applyFill="1" applyBorder="1"/>
    <xf numFmtId="0" fontId="1" fillId="4" borderId="5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8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5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0" xfId="1" applyFont="1" applyAlignment="1">
      <alignment horizontal="right"/>
    </xf>
    <xf numFmtId="3" fontId="2" fillId="0" borderId="0" xfId="0" applyNumberFormat="1" applyFont="1"/>
    <xf numFmtId="3" fontId="1" fillId="0" borderId="0" xfId="0" applyNumberFormat="1" applyFont="1"/>
    <xf numFmtId="2" fontId="1" fillId="0" borderId="0" xfId="0" applyNumberFormat="1" applyFont="1"/>
    <xf numFmtId="9" fontId="1" fillId="0" borderId="0" xfId="0" applyNumberFormat="1" applyFont="1"/>
    <xf numFmtId="9" fontId="2" fillId="0" borderId="0" xfId="0" applyNumberFormat="1" applyFont="1"/>
    <xf numFmtId="14" fontId="4" fillId="0" borderId="0" xfId="0" applyNumberFormat="1" applyFont="1" applyAlignment="1">
      <alignment horizontal="right"/>
    </xf>
    <xf numFmtId="0" fontId="7" fillId="0" borderId="0" xfId="0" applyFont="1"/>
    <xf numFmtId="0" fontId="1" fillId="4" borderId="0" xfId="0" applyFont="1" applyFill="1" applyBorder="1" applyAlignment="1">
      <alignment horizontal="center"/>
    </xf>
    <xf numFmtId="17" fontId="1" fillId="4" borderId="5" xfId="0" applyNumberFormat="1" applyFont="1" applyFill="1" applyBorder="1" applyAlignment="1">
      <alignment horizontal="center"/>
    </xf>
    <xf numFmtId="3" fontId="3" fillId="0" borderId="0" xfId="0" applyNumberFormat="1" applyFont="1"/>
    <xf numFmtId="9" fontId="8" fillId="0" borderId="0" xfId="0" applyNumberFormat="1" applyFont="1" applyAlignment="1">
      <alignment horizontal="left" indent="1"/>
    </xf>
    <xf numFmtId="9" fontId="8" fillId="0" borderId="0" xfId="0" applyNumberFormat="1" applyFont="1"/>
    <xf numFmtId="3" fontId="9" fillId="0" borderId="0" xfId="0" applyNumberFormat="1" applyFont="1" applyAlignment="1">
      <alignment horizontal="left" indent="1"/>
    </xf>
    <xf numFmtId="3" fontId="9" fillId="0" borderId="0" xfId="0" applyNumberFormat="1" applyFont="1"/>
    <xf numFmtId="3" fontId="11" fillId="0" borderId="0" xfId="0" applyNumberFormat="1" applyFont="1"/>
    <xf numFmtId="17" fontId="1" fillId="0" borderId="0" xfId="0" applyNumberFormat="1" applyFont="1"/>
    <xf numFmtId="164" fontId="1" fillId="4" borderId="0" xfId="0" applyNumberFormat="1" applyFont="1" applyFill="1" applyBorder="1" applyAlignment="1">
      <alignment horizontal="center"/>
    </xf>
    <xf numFmtId="164" fontId="1" fillId="4" borderId="5" xfId="0" applyNumberFormat="1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31296</xdr:colOff>
      <xdr:row>0</xdr:row>
      <xdr:rowOff>76200</xdr:rowOff>
    </xdr:from>
    <xdr:to>
      <xdr:col>5</xdr:col>
      <xdr:colOff>419100</xdr:colOff>
      <xdr:row>3</xdr:row>
      <xdr:rowOff>40386</xdr:rowOff>
    </xdr:to>
    <xdr:pic>
      <xdr:nvPicPr>
        <xdr:cNvPr id="2" name="Picture 1" descr="Acuity Brands Lighting">
          <a:extLst>
            <a:ext uri="{FF2B5EF4-FFF2-40B4-BE49-F238E27FC236}">
              <a16:creationId xmlns:a16="http://schemas.microsoft.com/office/drawing/2014/main" id="{66571B45-E4DB-44A3-C5E5-094C2A3E63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69" b="25098"/>
        <a:stretch/>
      </xdr:blipFill>
      <xdr:spPr bwMode="auto">
        <a:xfrm>
          <a:off x="1860096" y="76200"/>
          <a:ext cx="1607004" cy="449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0</xdr:row>
      <xdr:rowOff>9525</xdr:rowOff>
    </xdr:from>
    <xdr:to>
      <xdr:col>14</xdr:col>
      <xdr:colOff>9525</xdr:colOff>
      <xdr:row>114</xdr:row>
      <xdr:rowOff>123825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8FD41AB-7801-9D53-145A-8C5165DCDBC5}"/>
            </a:ext>
          </a:extLst>
        </xdr:cNvPr>
        <xdr:cNvCxnSpPr/>
      </xdr:nvCxnSpPr>
      <xdr:spPr>
        <a:xfrm>
          <a:off x="9201150" y="9525"/>
          <a:ext cx="0" cy="18573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9525</xdr:colOff>
      <xdr:row>0</xdr:row>
      <xdr:rowOff>0</xdr:rowOff>
    </xdr:from>
    <xdr:to>
      <xdr:col>24</xdr:col>
      <xdr:colOff>9525</xdr:colOff>
      <xdr:row>114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CE28E2C-318F-4596-BDBA-F9BF7F97A742}"/>
            </a:ext>
          </a:extLst>
        </xdr:cNvPr>
        <xdr:cNvCxnSpPr/>
      </xdr:nvCxnSpPr>
      <xdr:spPr>
        <a:xfrm>
          <a:off x="15297150" y="0"/>
          <a:ext cx="0" cy="17278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vestors.acuityinc.com/news-releases/news-release-details/acuity-reports-fiscal-2025-second-quarter-results" TargetMode="External"/><Relationship Id="rId2" Type="http://schemas.openxmlformats.org/officeDocument/2006/relationships/hyperlink" Target="https://investors.acuityinc.com/news-releases/news-release-details/acuity-reports-fiscal-2025-third-quarter-results" TargetMode="External"/><Relationship Id="rId1" Type="http://schemas.openxmlformats.org/officeDocument/2006/relationships/hyperlink" Target="https://investors.acuityinc.com/news-releases/news-release-details/acuity-reports-fiscal-2025-fourth-quarter-and-full-year-results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sec.gov/ix?doc=/Archives/edgar/data/0001144215/000114421526000010/ayi-20251130.htm" TargetMode="External"/><Relationship Id="rId4" Type="http://schemas.openxmlformats.org/officeDocument/2006/relationships/hyperlink" Target="https://investors.acuityinc.com/news-releases/news-release-details/acuity-brands-reports-fiscal-2025-first-quarter-resul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3B1C-EBF8-4F94-8C53-A1E29A0EAC4A}">
  <dimension ref="A2:R37"/>
  <sheetViews>
    <sheetView workbookViewId="0">
      <selection activeCell="D9" sqref="D9:D11"/>
    </sheetView>
  </sheetViews>
  <sheetFormatPr defaultRowHeight="12.75" x14ac:dyDescent="0.2"/>
  <cols>
    <col min="1" max="16384" width="9.140625" style="1"/>
  </cols>
  <sheetData>
    <row r="2" spans="1:18" x14ac:dyDescent="0.2">
      <c r="B2" s="2" t="s">
        <v>0</v>
      </c>
      <c r="G2" s="1" t="s">
        <v>23</v>
      </c>
    </row>
    <row r="3" spans="1:18" x14ac:dyDescent="0.2">
      <c r="B3" s="2" t="s">
        <v>1</v>
      </c>
    </row>
    <row r="5" spans="1:18" x14ac:dyDescent="0.2">
      <c r="B5" s="45" t="s">
        <v>2</v>
      </c>
      <c r="C5" s="46"/>
      <c r="D5" s="47"/>
      <c r="O5" s="2" t="s">
        <v>86</v>
      </c>
    </row>
    <row r="6" spans="1:18" x14ac:dyDescent="0.2">
      <c r="B6" s="3" t="s">
        <v>3</v>
      </c>
      <c r="C6" s="4">
        <v>360.38</v>
      </c>
      <c r="D6" s="8"/>
      <c r="O6" s="1" t="s">
        <v>87</v>
      </c>
      <c r="R6" s="1" t="s">
        <v>89</v>
      </c>
    </row>
    <row r="7" spans="1:18" x14ac:dyDescent="0.2">
      <c r="B7" s="3" t="s">
        <v>4</v>
      </c>
      <c r="C7" s="6">
        <f>+'Financial Model'!N24</f>
        <v>30.704999999999998</v>
      </c>
      <c r="D7" s="8" t="s">
        <v>104</v>
      </c>
      <c r="O7" s="1" t="s">
        <v>81</v>
      </c>
      <c r="R7" s="1" t="s">
        <v>88</v>
      </c>
    </row>
    <row r="8" spans="1:18" x14ac:dyDescent="0.2">
      <c r="B8" s="3" t="s">
        <v>5</v>
      </c>
      <c r="C8" s="6">
        <f>C6*C7</f>
        <v>11065.4679</v>
      </c>
      <c r="D8" s="8"/>
    </row>
    <row r="9" spans="1:18" x14ac:dyDescent="0.2">
      <c r="B9" s="3" t="s">
        <v>6</v>
      </c>
      <c r="C9" s="6">
        <f>+'Financial Model'!N68</f>
        <v>376.1</v>
      </c>
      <c r="D9" s="8" t="s">
        <v>104</v>
      </c>
    </row>
    <row r="10" spans="1:18" x14ac:dyDescent="0.2">
      <c r="B10" s="3" t="s">
        <v>7</v>
      </c>
      <c r="C10" s="6">
        <f>+'Financial Model'!N69</f>
        <v>797</v>
      </c>
      <c r="D10" s="8" t="s">
        <v>104</v>
      </c>
    </row>
    <row r="11" spans="1:18" x14ac:dyDescent="0.2">
      <c r="B11" s="3" t="s">
        <v>8</v>
      </c>
      <c r="C11" s="6">
        <f>+C9-C10</f>
        <v>-420.9</v>
      </c>
      <c r="D11" s="8" t="s">
        <v>104</v>
      </c>
    </row>
    <row r="12" spans="1:18" x14ac:dyDescent="0.2">
      <c r="B12" s="5" t="s">
        <v>9</v>
      </c>
      <c r="C12" s="7">
        <f>+C8-C11</f>
        <v>11486.367899999999</v>
      </c>
      <c r="D12" s="9"/>
    </row>
    <row r="15" spans="1:18" x14ac:dyDescent="0.2">
      <c r="B15" s="45" t="s">
        <v>10</v>
      </c>
      <c r="C15" s="46"/>
      <c r="D15" s="47"/>
    </row>
    <row r="16" spans="1:18" x14ac:dyDescent="0.2">
      <c r="A16" s="38">
        <v>43831</v>
      </c>
      <c r="B16" s="10" t="s">
        <v>11</v>
      </c>
      <c r="C16" s="41" t="s">
        <v>105</v>
      </c>
      <c r="D16" s="42"/>
    </row>
    <row r="17" spans="2:4" x14ac:dyDescent="0.2">
      <c r="B17" s="10" t="s">
        <v>12</v>
      </c>
      <c r="C17" s="11"/>
      <c r="D17" s="12"/>
    </row>
    <row r="18" spans="2:4" x14ac:dyDescent="0.2">
      <c r="B18" s="10" t="s">
        <v>13</v>
      </c>
      <c r="C18" s="11"/>
      <c r="D18" s="12"/>
    </row>
    <row r="19" spans="2:4" x14ac:dyDescent="0.2">
      <c r="B19" s="13"/>
      <c r="C19" s="14"/>
      <c r="D19" s="15"/>
    </row>
    <row r="22" spans="2:4" x14ac:dyDescent="0.2">
      <c r="B22" s="45" t="s">
        <v>14</v>
      </c>
      <c r="C22" s="46"/>
      <c r="D22" s="47"/>
    </row>
    <row r="23" spans="2:4" x14ac:dyDescent="0.2">
      <c r="B23" s="16" t="s">
        <v>15</v>
      </c>
      <c r="C23" s="41" t="s">
        <v>22</v>
      </c>
      <c r="D23" s="42"/>
    </row>
    <row r="24" spans="2:4" x14ac:dyDescent="0.2">
      <c r="B24" s="16" t="s">
        <v>16</v>
      </c>
      <c r="C24" s="41">
        <v>2001</v>
      </c>
      <c r="D24" s="42"/>
    </row>
    <row r="25" spans="2:4" x14ac:dyDescent="0.2">
      <c r="B25" s="16" t="s">
        <v>17</v>
      </c>
      <c r="C25" s="41"/>
      <c r="D25" s="42"/>
    </row>
    <row r="26" spans="2:4" x14ac:dyDescent="0.2">
      <c r="B26" s="16"/>
      <c r="C26" s="41"/>
      <c r="D26" s="42"/>
    </row>
    <row r="27" spans="2:4" x14ac:dyDescent="0.2">
      <c r="B27" s="16" t="s">
        <v>18</v>
      </c>
      <c r="C27" s="41"/>
      <c r="D27" s="42"/>
    </row>
    <row r="28" spans="2:4" x14ac:dyDescent="0.2">
      <c r="B28" s="16"/>
      <c r="C28" s="41"/>
      <c r="D28" s="42"/>
    </row>
    <row r="29" spans="2:4" x14ac:dyDescent="0.2">
      <c r="B29" s="16" t="s">
        <v>19</v>
      </c>
      <c r="C29" s="30" t="s">
        <v>24</v>
      </c>
      <c r="D29" s="31">
        <v>37165</v>
      </c>
    </row>
    <row r="30" spans="2:4" x14ac:dyDescent="0.2">
      <c r="B30" s="17" t="s">
        <v>20</v>
      </c>
      <c r="C30" s="43" t="s">
        <v>21</v>
      </c>
      <c r="D30" s="44"/>
    </row>
    <row r="33" spans="2:4" x14ac:dyDescent="0.2">
      <c r="B33" s="45" t="s">
        <v>85</v>
      </c>
      <c r="C33" s="46"/>
      <c r="D33" s="47"/>
    </row>
    <row r="34" spans="2:4" x14ac:dyDescent="0.2">
      <c r="B34" s="16" t="s">
        <v>69</v>
      </c>
      <c r="C34" s="39">
        <f>+C6/'Financial Model'!N66</f>
        <v>3.9604394774516813</v>
      </c>
      <c r="D34" s="40"/>
    </row>
    <row r="35" spans="2:4" x14ac:dyDescent="0.2">
      <c r="B35" s="16" t="s">
        <v>70</v>
      </c>
      <c r="C35" s="39">
        <f>+C8/SUM('Financial Model'!K12:N12)</f>
        <v>2.4385631266941403</v>
      </c>
      <c r="D35" s="40"/>
    </row>
    <row r="36" spans="2:4" x14ac:dyDescent="0.2">
      <c r="B36" s="16"/>
      <c r="C36" s="41"/>
      <c r="D36" s="42"/>
    </row>
    <row r="37" spans="2:4" x14ac:dyDescent="0.2">
      <c r="B37" s="16" t="s">
        <v>72</v>
      </c>
      <c r="C37" s="39">
        <f>+C6/SUM('Financial Model'!K23:N23)</f>
        <v>27.037829121890255</v>
      </c>
      <c r="D37" s="40"/>
    </row>
  </sheetData>
  <mergeCells count="16">
    <mergeCell ref="B5:D5"/>
    <mergeCell ref="B15:D15"/>
    <mergeCell ref="B22:D22"/>
    <mergeCell ref="C23:D23"/>
    <mergeCell ref="C24:D24"/>
    <mergeCell ref="C34:D34"/>
    <mergeCell ref="C35:D35"/>
    <mergeCell ref="C36:D36"/>
    <mergeCell ref="C37:D37"/>
    <mergeCell ref="C16:D16"/>
    <mergeCell ref="C26:D26"/>
    <mergeCell ref="C27:D27"/>
    <mergeCell ref="C28:D28"/>
    <mergeCell ref="C30:D30"/>
    <mergeCell ref="B33:D33"/>
    <mergeCell ref="C25:D25"/>
  </mergeCells>
  <pageMargins left="0.7" right="0.7" top="0.75" bottom="0.75" header="0.3" footer="0.3"/>
  <ignoredErrors>
    <ignoredError sqref="C35:D3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6B54-D3AF-40A4-A5C1-ACA9DF889A31}">
  <dimension ref="B1:AD8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33" sqref="E33"/>
    </sheetView>
  </sheetViews>
  <sheetFormatPr defaultRowHeight="12.75" x14ac:dyDescent="0.2"/>
  <cols>
    <col min="1" max="1" width="4.28515625" style="1" customWidth="1"/>
    <col min="2" max="2" width="23.85546875" style="1" bestFit="1" customWidth="1"/>
    <col min="3" max="16384" width="9.140625" style="1"/>
  </cols>
  <sheetData>
    <row r="1" spans="2:30" s="21" customFormat="1" x14ac:dyDescent="0.2">
      <c r="F1" s="21" t="s">
        <v>49</v>
      </c>
      <c r="G1" s="21" t="s">
        <v>48</v>
      </c>
      <c r="H1" s="21" t="s">
        <v>47</v>
      </c>
      <c r="I1" s="21" t="s">
        <v>46</v>
      </c>
      <c r="J1" s="22" t="s">
        <v>45</v>
      </c>
      <c r="K1" s="22" t="s">
        <v>44</v>
      </c>
      <c r="L1" s="22" t="s">
        <v>43</v>
      </c>
      <c r="M1" s="22" t="s">
        <v>24</v>
      </c>
      <c r="N1" s="22" t="s">
        <v>104</v>
      </c>
      <c r="O1" s="21" t="s">
        <v>114</v>
      </c>
      <c r="Q1" s="21" t="s">
        <v>90</v>
      </c>
      <c r="R1" s="21" t="s">
        <v>91</v>
      </c>
      <c r="S1" s="21" t="s">
        <v>92</v>
      </c>
      <c r="T1" s="21" t="s">
        <v>93</v>
      </c>
      <c r="U1" s="21" t="s">
        <v>94</v>
      </c>
      <c r="V1" s="21" t="s">
        <v>95</v>
      </c>
      <c r="W1" s="21" t="s">
        <v>96</v>
      </c>
      <c r="X1" s="21" t="s">
        <v>97</v>
      </c>
      <c r="Y1" s="21" t="s">
        <v>98</v>
      </c>
      <c r="Z1" s="21" t="s">
        <v>99</v>
      </c>
      <c r="AA1" s="21" t="s">
        <v>100</v>
      </c>
      <c r="AB1" s="21" t="s">
        <v>101</v>
      </c>
      <c r="AC1" s="21" t="s">
        <v>102</v>
      </c>
      <c r="AD1" s="21" t="s">
        <v>103</v>
      </c>
    </row>
    <row r="2" spans="2:30" s="19" customFormat="1" x14ac:dyDescent="0.2">
      <c r="B2" s="18"/>
      <c r="F2" s="28">
        <v>45260</v>
      </c>
      <c r="G2" s="28">
        <v>45351</v>
      </c>
      <c r="H2" s="28">
        <v>45443</v>
      </c>
      <c r="I2" s="28">
        <v>45535</v>
      </c>
      <c r="J2" s="28">
        <v>45991</v>
      </c>
      <c r="K2" s="28">
        <v>45716</v>
      </c>
      <c r="L2" s="28">
        <v>45808</v>
      </c>
      <c r="M2" s="28">
        <v>45900</v>
      </c>
      <c r="N2" s="28">
        <v>46356</v>
      </c>
    </row>
    <row r="3" spans="2:30" s="19" customFormat="1" x14ac:dyDescent="0.2">
      <c r="B3" s="18"/>
      <c r="J3" s="20">
        <v>45665</v>
      </c>
      <c r="K3" s="20">
        <v>45750</v>
      </c>
      <c r="L3" s="20">
        <v>45834</v>
      </c>
      <c r="M3" s="20">
        <v>45931</v>
      </c>
      <c r="N3" s="20">
        <v>46030</v>
      </c>
    </row>
    <row r="4" spans="2:30" s="36" customFormat="1" x14ac:dyDescent="0.2">
      <c r="B4" s="35" t="s">
        <v>75</v>
      </c>
      <c r="F4" s="36">
        <v>625.20000000000005</v>
      </c>
      <c r="G4" s="36">
        <v>612.29999999999995</v>
      </c>
      <c r="H4" s="36">
        <v>637.1</v>
      </c>
      <c r="I4" s="36">
        <v>677.1</v>
      </c>
      <c r="J4" s="36">
        <v>643.9</v>
      </c>
      <c r="K4" s="36">
        <v>615.20000000000005</v>
      </c>
      <c r="L4" s="36">
        <v>685.3</v>
      </c>
      <c r="M4" s="36">
        <v>702.4</v>
      </c>
      <c r="N4" s="36">
        <v>666.3</v>
      </c>
    </row>
    <row r="5" spans="2:30" s="36" customFormat="1" x14ac:dyDescent="0.2">
      <c r="B5" s="35" t="s">
        <v>76</v>
      </c>
      <c r="F5" s="36">
        <v>97.4</v>
      </c>
      <c r="G5" s="36">
        <v>93</v>
      </c>
      <c r="H5" s="36">
        <v>97</v>
      </c>
      <c r="I5" s="36">
        <v>109.6</v>
      </c>
      <c r="J5" s="36">
        <v>107.2</v>
      </c>
      <c r="K5" s="36">
        <v>97.4</v>
      </c>
      <c r="L5" s="36">
        <v>101.5</v>
      </c>
      <c r="M5" s="36">
        <v>105.3</v>
      </c>
      <c r="N5" s="36">
        <v>90.4</v>
      </c>
    </row>
    <row r="6" spans="2:30" s="36" customFormat="1" x14ac:dyDescent="0.2">
      <c r="B6" s="35" t="s">
        <v>77</v>
      </c>
      <c r="F6" s="36">
        <v>55.6</v>
      </c>
      <c r="G6" s="36">
        <v>46.4</v>
      </c>
      <c r="H6" s="36">
        <v>45.7</v>
      </c>
      <c r="I6" s="36">
        <v>42.6</v>
      </c>
      <c r="J6" s="36">
        <v>44.9</v>
      </c>
      <c r="K6" s="36">
        <v>41</v>
      </c>
      <c r="L6" s="36">
        <v>41.4</v>
      </c>
      <c r="M6" s="36">
        <v>43.4</v>
      </c>
      <c r="N6" s="36">
        <v>46.8</v>
      </c>
    </row>
    <row r="7" spans="2:30" s="36" customFormat="1" x14ac:dyDescent="0.2">
      <c r="B7" s="35" t="s">
        <v>78</v>
      </c>
      <c r="F7" s="36">
        <v>41.5</v>
      </c>
      <c r="G7" s="36">
        <v>38.1</v>
      </c>
      <c r="H7" s="36">
        <v>60.5</v>
      </c>
      <c r="I7" s="36">
        <v>65.8</v>
      </c>
      <c r="J7" s="36">
        <v>32.700000000000003</v>
      </c>
      <c r="K7" s="36">
        <v>35.6</v>
      </c>
      <c r="L7" s="36">
        <v>35.5</v>
      </c>
      <c r="M7" s="36">
        <v>52.9</v>
      </c>
      <c r="N7" s="36">
        <v>39.9</v>
      </c>
    </row>
    <row r="8" spans="2:30" s="36" customFormat="1" x14ac:dyDescent="0.2">
      <c r="B8" s="35" t="s">
        <v>79</v>
      </c>
      <c r="F8" s="36">
        <v>56.7</v>
      </c>
      <c r="G8" s="36">
        <v>53.7</v>
      </c>
      <c r="H8" s="36">
        <v>58.2</v>
      </c>
      <c r="I8" s="36">
        <v>59.9</v>
      </c>
      <c r="J8" s="36">
        <v>57.3</v>
      </c>
      <c r="K8" s="36">
        <v>51.4</v>
      </c>
      <c r="L8" s="36">
        <v>59.5</v>
      </c>
      <c r="M8" s="36">
        <v>58.4</v>
      </c>
      <c r="N8" s="36">
        <v>51.7</v>
      </c>
    </row>
    <row r="9" spans="2:30" s="37" customFormat="1" x14ac:dyDescent="0.2">
      <c r="B9" s="37" t="s">
        <v>80</v>
      </c>
      <c r="F9" s="37">
        <f t="shared" ref="F9" si="0">+SUM(F4:F8)</f>
        <v>876.40000000000009</v>
      </c>
      <c r="G9" s="37">
        <f t="shared" ref="G9:N9" si="1">+SUM(G4:G8)</f>
        <v>843.5</v>
      </c>
      <c r="H9" s="37">
        <f t="shared" si="1"/>
        <v>898.50000000000011</v>
      </c>
      <c r="I9" s="37">
        <f t="shared" si="1"/>
        <v>955</v>
      </c>
      <c r="J9" s="37">
        <f t="shared" si="1"/>
        <v>886</v>
      </c>
      <c r="K9" s="37">
        <f t="shared" si="1"/>
        <v>840.6</v>
      </c>
      <c r="L9" s="37">
        <f t="shared" si="1"/>
        <v>923.19999999999993</v>
      </c>
      <c r="M9" s="37">
        <f t="shared" si="1"/>
        <v>962.39999999999986</v>
      </c>
      <c r="N9" s="37">
        <f t="shared" si="1"/>
        <v>895.09999999999991</v>
      </c>
    </row>
    <row r="10" spans="2:30" s="37" customFormat="1" x14ac:dyDescent="0.2">
      <c r="B10" s="37" t="s">
        <v>81</v>
      </c>
      <c r="F10" s="37">
        <v>64.2</v>
      </c>
      <c r="G10" s="37">
        <v>68.099999999999994</v>
      </c>
      <c r="H10" s="37">
        <v>75.7</v>
      </c>
      <c r="I10" s="37">
        <v>83.9</v>
      </c>
      <c r="J10" s="37">
        <v>73.5</v>
      </c>
      <c r="K10" s="37">
        <v>171.5</v>
      </c>
      <c r="L10" s="37">
        <v>264.10000000000002</v>
      </c>
      <c r="M10" s="37">
        <v>255.2</v>
      </c>
      <c r="N10" s="37">
        <v>257.39999999999998</v>
      </c>
    </row>
    <row r="11" spans="2:30" s="32" customFormat="1" x14ac:dyDescent="0.2">
      <c r="B11" s="32" t="s">
        <v>82</v>
      </c>
      <c r="F11" s="32">
        <v>-5.9</v>
      </c>
      <c r="G11" s="32">
        <v>-5.7</v>
      </c>
      <c r="H11" s="32">
        <v>-6.1</v>
      </c>
      <c r="I11" s="32">
        <v>-6.6</v>
      </c>
      <c r="J11" s="32">
        <v>-7.9</v>
      </c>
      <c r="K11" s="32">
        <v>-5.8</v>
      </c>
      <c r="L11" s="32">
        <v>-8.6999999999999993</v>
      </c>
      <c r="M11" s="32">
        <v>-8.5</v>
      </c>
      <c r="N11" s="32">
        <v>-8.8000000000000007</v>
      </c>
    </row>
    <row r="12" spans="2:30" s="23" customFormat="1" x14ac:dyDescent="0.2">
      <c r="B12" s="23" t="s">
        <v>25</v>
      </c>
      <c r="F12" s="23">
        <v>934.7</v>
      </c>
      <c r="G12" s="23">
        <v>905.9</v>
      </c>
      <c r="H12" s="23">
        <v>968.1</v>
      </c>
      <c r="I12" s="23">
        <v>1032.3</v>
      </c>
      <c r="J12" s="23">
        <v>951.6</v>
      </c>
      <c r="K12" s="23">
        <v>1006.3</v>
      </c>
      <c r="L12" s="23">
        <v>1178.5999999999999</v>
      </c>
      <c r="M12" s="23">
        <v>1209.0999999999999</v>
      </c>
      <c r="N12" s="23">
        <v>1143.7</v>
      </c>
      <c r="W12" s="23">
        <f>+SUM(F12:I12)</f>
        <v>3841</v>
      </c>
      <c r="X12" s="23">
        <f>+SUM(J12:M12)</f>
        <v>4345.6000000000004</v>
      </c>
    </row>
    <row r="13" spans="2:30" s="24" customFormat="1" x14ac:dyDescent="0.2">
      <c r="B13" s="24" t="s">
        <v>26</v>
      </c>
      <c r="F13" s="24">
        <v>506.3</v>
      </c>
      <c r="G13" s="24">
        <v>493.5</v>
      </c>
      <c r="H13" s="24">
        <v>515.9</v>
      </c>
      <c r="I13" s="24">
        <v>543.6</v>
      </c>
      <c r="J13" s="24">
        <v>502.3</v>
      </c>
      <c r="K13" s="24">
        <v>538.29999999999995</v>
      </c>
      <c r="L13" s="24">
        <v>608.4</v>
      </c>
      <c r="M13" s="24">
        <v>618.1</v>
      </c>
      <c r="N13" s="24">
        <v>589.9</v>
      </c>
      <c r="X13" s="24">
        <f>+SUM(J13:M13)</f>
        <v>2267.1</v>
      </c>
    </row>
    <row r="14" spans="2:30" s="23" customFormat="1" x14ac:dyDescent="0.2">
      <c r="B14" s="23" t="s">
        <v>27</v>
      </c>
      <c r="F14" s="23">
        <f t="shared" ref="F14:N14" si="2">+F12-F13</f>
        <v>428.40000000000003</v>
      </c>
      <c r="G14" s="23">
        <f t="shared" si="2"/>
        <v>412.4</v>
      </c>
      <c r="H14" s="23">
        <f t="shared" si="2"/>
        <v>452.20000000000005</v>
      </c>
      <c r="I14" s="23">
        <f t="shared" si="2"/>
        <v>488.69999999999993</v>
      </c>
      <c r="J14" s="23">
        <f t="shared" si="2"/>
        <v>449.3</v>
      </c>
      <c r="K14" s="23">
        <f t="shared" si="2"/>
        <v>468</v>
      </c>
      <c r="L14" s="23">
        <f t="shared" si="2"/>
        <v>570.19999999999993</v>
      </c>
      <c r="M14" s="23">
        <f t="shared" si="2"/>
        <v>590.99999999999989</v>
      </c>
      <c r="N14" s="23">
        <f t="shared" si="2"/>
        <v>553.80000000000007</v>
      </c>
      <c r="X14" s="23">
        <f>+X12-X13</f>
        <v>2078.5000000000005</v>
      </c>
    </row>
    <row r="15" spans="2:30" s="24" customFormat="1" x14ac:dyDescent="0.2">
      <c r="B15" s="24" t="s">
        <v>28</v>
      </c>
      <c r="F15" s="24">
        <v>295.5</v>
      </c>
      <c r="G15" s="24">
        <v>294.3</v>
      </c>
      <c r="H15" s="24">
        <v>306.89999999999998</v>
      </c>
      <c r="I15" s="24">
        <v>331.7</v>
      </c>
      <c r="J15" s="24">
        <v>316</v>
      </c>
      <c r="K15" s="24">
        <v>357.8</v>
      </c>
      <c r="L15" s="24">
        <v>400.7</v>
      </c>
      <c r="M15" s="24">
        <v>410.4</v>
      </c>
      <c r="N15" s="24">
        <v>393.4</v>
      </c>
      <c r="X15" s="24">
        <f t="shared" ref="X15:X16" si="3">+SUM(J15:M15)</f>
        <v>1484.9</v>
      </c>
    </row>
    <row r="16" spans="2:30" s="24" customFormat="1" x14ac:dyDescent="0.2">
      <c r="B16" s="24" t="s">
        <v>29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29.7</v>
      </c>
      <c r="M16" s="24">
        <v>0</v>
      </c>
      <c r="N16" s="24">
        <v>0</v>
      </c>
      <c r="X16" s="24">
        <f t="shared" si="3"/>
        <v>29.7</v>
      </c>
    </row>
    <row r="17" spans="2:24" s="23" customFormat="1" x14ac:dyDescent="0.2">
      <c r="B17" s="23" t="s">
        <v>30</v>
      </c>
      <c r="F17" s="23">
        <f t="shared" ref="F17:N17" si="4">+F14-F15-F16</f>
        <v>132.90000000000003</v>
      </c>
      <c r="G17" s="23">
        <f t="shared" si="4"/>
        <v>118.09999999999997</v>
      </c>
      <c r="H17" s="23">
        <f t="shared" si="4"/>
        <v>145.30000000000007</v>
      </c>
      <c r="I17" s="23">
        <f t="shared" si="4"/>
        <v>156.99999999999994</v>
      </c>
      <c r="J17" s="23">
        <f t="shared" si="4"/>
        <v>133.30000000000001</v>
      </c>
      <c r="K17" s="23">
        <f t="shared" si="4"/>
        <v>110.19999999999999</v>
      </c>
      <c r="L17" s="23">
        <f t="shared" si="4"/>
        <v>139.79999999999995</v>
      </c>
      <c r="M17" s="23">
        <f t="shared" si="4"/>
        <v>180.59999999999991</v>
      </c>
      <c r="N17" s="23">
        <f t="shared" si="4"/>
        <v>160.40000000000009</v>
      </c>
      <c r="X17" s="23">
        <f>+X14-X15-X16</f>
        <v>563.90000000000032</v>
      </c>
    </row>
    <row r="18" spans="2:24" s="24" customFormat="1" x14ac:dyDescent="0.2">
      <c r="B18" s="24" t="s">
        <v>31</v>
      </c>
      <c r="F18" s="24">
        <v>0.9</v>
      </c>
      <c r="G18" s="24">
        <v>-0.1</v>
      </c>
      <c r="H18" s="24">
        <v>-1.8</v>
      </c>
      <c r="I18" s="24">
        <v>-3.5</v>
      </c>
      <c r="J18" s="24">
        <v>-4</v>
      </c>
      <c r="K18" s="24">
        <v>6.9</v>
      </c>
      <c r="L18" s="24">
        <v>12.1</v>
      </c>
      <c r="M18" s="24">
        <v>7</v>
      </c>
      <c r="N18" s="24">
        <v>8.4</v>
      </c>
      <c r="X18" s="24">
        <f t="shared" ref="X18:X19" si="5">+SUM(J18:M18)</f>
        <v>22</v>
      </c>
    </row>
    <row r="19" spans="2:24" s="24" customFormat="1" x14ac:dyDescent="0.2">
      <c r="B19" s="24" t="s">
        <v>32</v>
      </c>
      <c r="F19" s="24">
        <v>1.1000000000000001</v>
      </c>
      <c r="G19" s="24">
        <v>0.6</v>
      </c>
      <c r="H19" s="24">
        <v>-0.5</v>
      </c>
      <c r="I19" s="24">
        <v>8</v>
      </c>
      <c r="J19" s="24">
        <v>2.5</v>
      </c>
      <c r="K19" s="24">
        <v>1</v>
      </c>
      <c r="L19" s="24">
        <v>2.2999999999999998</v>
      </c>
      <c r="M19" s="24">
        <v>35.9</v>
      </c>
      <c r="N19" s="24">
        <v>-0.6</v>
      </c>
      <c r="X19" s="24">
        <f t="shared" si="5"/>
        <v>41.699999999999996</v>
      </c>
    </row>
    <row r="20" spans="2:24" s="24" customFormat="1" x14ac:dyDescent="0.2">
      <c r="B20" s="24" t="s">
        <v>33</v>
      </c>
      <c r="F20" s="24">
        <f t="shared" ref="F20:N20" si="6">+F17-F18-F19</f>
        <v>130.90000000000003</v>
      </c>
      <c r="G20" s="24">
        <f t="shared" si="6"/>
        <v>117.59999999999997</v>
      </c>
      <c r="H20" s="24">
        <f t="shared" si="6"/>
        <v>147.60000000000008</v>
      </c>
      <c r="I20" s="24">
        <f t="shared" si="6"/>
        <v>152.49999999999994</v>
      </c>
      <c r="J20" s="24">
        <f t="shared" si="6"/>
        <v>134.80000000000001</v>
      </c>
      <c r="K20" s="24">
        <f t="shared" si="6"/>
        <v>102.29999999999998</v>
      </c>
      <c r="L20" s="24">
        <f t="shared" si="6"/>
        <v>125.39999999999996</v>
      </c>
      <c r="M20" s="24">
        <f t="shared" si="6"/>
        <v>137.6999999999999</v>
      </c>
      <c r="N20" s="24">
        <f t="shared" si="6"/>
        <v>152.60000000000008</v>
      </c>
      <c r="X20" s="24">
        <f>+X17-X18-X19</f>
        <v>500.20000000000033</v>
      </c>
    </row>
    <row r="21" spans="2:24" s="24" customFormat="1" x14ac:dyDescent="0.2">
      <c r="B21" s="24" t="s">
        <v>34</v>
      </c>
      <c r="F21" s="24">
        <v>30.3</v>
      </c>
      <c r="G21" s="24">
        <v>28.4</v>
      </c>
      <c r="H21" s="24">
        <v>33.700000000000003</v>
      </c>
      <c r="I21" s="24">
        <v>33.6</v>
      </c>
      <c r="J21" s="24">
        <v>28.1</v>
      </c>
      <c r="K21" s="24">
        <v>24.8</v>
      </c>
      <c r="L21" s="24">
        <v>27</v>
      </c>
      <c r="M21" s="24">
        <v>23.7</v>
      </c>
      <c r="N21" s="24">
        <v>32.1</v>
      </c>
      <c r="X21" s="24">
        <f>+SUM(J21:M21)</f>
        <v>103.60000000000001</v>
      </c>
    </row>
    <row r="22" spans="2:24" s="23" customFormat="1" x14ac:dyDescent="0.2">
      <c r="B22" s="23" t="s">
        <v>35</v>
      </c>
      <c r="F22" s="23">
        <f t="shared" ref="F22:N22" si="7">+F20-F21</f>
        <v>100.60000000000004</v>
      </c>
      <c r="G22" s="23">
        <f t="shared" si="7"/>
        <v>89.19999999999996</v>
      </c>
      <c r="H22" s="23">
        <f t="shared" si="7"/>
        <v>113.90000000000008</v>
      </c>
      <c r="I22" s="23">
        <f t="shared" si="7"/>
        <v>118.89999999999995</v>
      </c>
      <c r="J22" s="23">
        <f t="shared" si="7"/>
        <v>106.70000000000002</v>
      </c>
      <c r="K22" s="23">
        <f t="shared" si="7"/>
        <v>77.499999999999986</v>
      </c>
      <c r="L22" s="23">
        <f t="shared" si="7"/>
        <v>98.399999999999963</v>
      </c>
      <c r="M22" s="23">
        <f t="shared" si="7"/>
        <v>113.9999999999999</v>
      </c>
      <c r="N22" s="23">
        <f t="shared" si="7"/>
        <v>120.50000000000009</v>
      </c>
      <c r="X22" s="23">
        <f>+X20-X21</f>
        <v>396.60000000000031</v>
      </c>
    </row>
    <row r="23" spans="2:24" s="25" customFormat="1" x14ac:dyDescent="0.2">
      <c r="B23" s="25" t="s">
        <v>36</v>
      </c>
      <c r="F23" s="25">
        <f t="shared" ref="F23:N23" si="8">+F22/F24</f>
        <v>3.244637961619095</v>
      </c>
      <c r="G23" s="25">
        <f t="shared" si="8"/>
        <v>2.8900984966303769</v>
      </c>
      <c r="H23" s="25">
        <f t="shared" si="8"/>
        <v>3.6945732913814937</v>
      </c>
      <c r="I23" s="25">
        <f t="shared" si="8"/>
        <v>3.8587609126018223</v>
      </c>
      <c r="J23" s="25">
        <f t="shared" si="8"/>
        <v>3.4497251859036542</v>
      </c>
      <c r="K23" s="25">
        <f t="shared" si="8"/>
        <v>2.5000806477628306</v>
      </c>
      <c r="L23" s="25">
        <f t="shared" si="8"/>
        <v>3.1895238403941515</v>
      </c>
      <c r="M23" s="25">
        <f t="shared" si="8"/>
        <v>3.7146860438593601</v>
      </c>
      <c r="N23" s="25">
        <f t="shared" si="8"/>
        <v>3.9244422732454027</v>
      </c>
      <c r="X23" s="25">
        <f>+X22/X24</f>
        <v>12.923197236794953</v>
      </c>
    </row>
    <row r="24" spans="2:24" s="24" customFormat="1" x14ac:dyDescent="0.2">
      <c r="B24" s="24" t="s">
        <v>4</v>
      </c>
      <c r="F24" s="24">
        <v>31.004999999999999</v>
      </c>
      <c r="G24" s="24">
        <v>30.864000000000001</v>
      </c>
      <c r="H24" s="24">
        <v>30.829000000000001</v>
      </c>
      <c r="I24" s="24">
        <v>30.812999999999999</v>
      </c>
      <c r="J24" s="24">
        <v>30.93</v>
      </c>
      <c r="K24" s="24">
        <v>30.998999999999999</v>
      </c>
      <c r="L24" s="24">
        <v>30.850999999999999</v>
      </c>
      <c r="M24" s="24">
        <v>30.689</v>
      </c>
      <c r="N24" s="24">
        <v>30.704999999999998</v>
      </c>
      <c r="X24" s="24">
        <f>+M24</f>
        <v>30.689</v>
      </c>
    </row>
    <row r="26" spans="2:24" s="26" customFormat="1" x14ac:dyDescent="0.2">
      <c r="B26" s="26" t="s">
        <v>37</v>
      </c>
      <c r="F26" s="26">
        <f t="shared" ref="F26:M26" si="9">+F14/F12</f>
        <v>0.45832887557505081</v>
      </c>
      <c r="G26" s="26">
        <f t="shared" si="9"/>
        <v>0.45523788497626666</v>
      </c>
      <c r="H26" s="26">
        <f t="shared" si="9"/>
        <v>0.4671005061460593</v>
      </c>
      <c r="I26" s="26">
        <f t="shared" si="9"/>
        <v>0.47340889276373144</v>
      </c>
      <c r="J26" s="26">
        <f t="shared" si="9"/>
        <v>0.47215216477511557</v>
      </c>
      <c r="K26" s="26">
        <f t="shared" si="9"/>
        <v>0.46507005863062706</v>
      </c>
      <c r="L26" s="26">
        <f t="shared" si="9"/>
        <v>0.4837943322586119</v>
      </c>
      <c r="M26" s="26">
        <f t="shared" si="9"/>
        <v>0.48879331734347858</v>
      </c>
      <c r="N26" s="26">
        <f t="shared" ref="N26" si="10">+N14/N12</f>
        <v>0.4842178893066364</v>
      </c>
      <c r="X26" s="26">
        <f>+X14/X12</f>
        <v>0.47829988954344632</v>
      </c>
    </row>
    <row r="27" spans="2:24" s="26" customFormat="1" x14ac:dyDescent="0.2">
      <c r="B27" s="26" t="s">
        <v>38</v>
      </c>
      <c r="F27" s="26">
        <f t="shared" ref="F27:M27" si="11">+F17/F12</f>
        <v>0.14218465817909492</v>
      </c>
      <c r="G27" s="26">
        <f t="shared" si="11"/>
        <v>0.13036759024174852</v>
      </c>
      <c r="H27" s="26">
        <f t="shared" si="11"/>
        <v>0.15008780084702</v>
      </c>
      <c r="I27" s="26">
        <f t="shared" si="11"/>
        <v>0.15208757144241011</v>
      </c>
      <c r="J27" s="26">
        <f t="shared" si="11"/>
        <v>0.14007986548970155</v>
      </c>
      <c r="K27" s="26">
        <f t="shared" si="11"/>
        <v>0.1095100864553314</v>
      </c>
      <c r="L27" s="26">
        <f t="shared" si="11"/>
        <v>0.11861530629560492</v>
      </c>
      <c r="M27" s="26">
        <f t="shared" si="11"/>
        <v>0.14936729799024062</v>
      </c>
      <c r="N27" s="26">
        <f t="shared" ref="N27" si="12">+N17/N12</f>
        <v>0.14024656815598505</v>
      </c>
      <c r="X27" s="26">
        <f>+X17/X12</f>
        <v>0.12976343888070699</v>
      </c>
    </row>
    <row r="28" spans="2:24" s="26" customFormat="1" x14ac:dyDescent="0.2">
      <c r="B28" s="26" t="s">
        <v>39</v>
      </c>
      <c r="F28" s="26">
        <f t="shared" ref="F28:M28" si="13">+F22/F12</f>
        <v>0.10762811597303951</v>
      </c>
      <c r="G28" s="26">
        <f t="shared" si="13"/>
        <v>9.8465614306214769E-2</v>
      </c>
      <c r="H28" s="26">
        <f t="shared" si="13"/>
        <v>0.11765313500671426</v>
      </c>
      <c r="I28" s="26">
        <f t="shared" si="13"/>
        <v>0.11517969582485707</v>
      </c>
      <c r="J28" s="26">
        <f t="shared" si="13"/>
        <v>0.11212694409415723</v>
      </c>
      <c r="K28" s="26">
        <f t="shared" si="13"/>
        <v>7.7014806717678616E-2</v>
      </c>
      <c r="L28" s="26">
        <f t="shared" si="13"/>
        <v>8.3488885117936507E-2</v>
      </c>
      <c r="M28" s="26">
        <f t="shared" si="13"/>
        <v>9.4285005375899358E-2</v>
      </c>
      <c r="N28" s="26">
        <f t="shared" ref="N28" si="14">+N22/N12</f>
        <v>0.10535979714960224</v>
      </c>
      <c r="X28" s="26">
        <f>+X22/X12</f>
        <v>9.1264727540500801E-2</v>
      </c>
    </row>
    <row r="29" spans="2:24" s="26" customFormat="1" x14ac:dyDescent="0.2">
      <c r="B29" s="26" t="s">
        <v>40</v>
      </c>
      <c r="F29" s="26">
        <f t="shared" ref="F29:M29" si="15">+F21/F20</f>
        <v>0.23147440794499613</v>
      </c>
      <c r="G29" s="26">
        <f t="shared" si="15"/>
        <v>0.24149659863945583</v>
      </c>
      <c r="H29" s="26">
        <f t="shared" si="15"/>
        <v>0.22831978319783189</v>
      </c>
      <c r="I29" s="26">
        <f t="shared" si="15"/>
        <v>0.22032786885245911</v>
      </c>
      <c r="J29" s="26">
        <f t="shared" si="15"/>
        <v>0.20845697329376853</v>
      </c>
      <c r="K29" s="26">
        <f t="shared" si="15"/>
        <v>0.24242424242424246</v>
      </c>
      <c r="L29" s="26">
        <f t="shared" si="15"/>
        <v>0.21531100478468906</v>
      </c>
      <c r="M29" s="26">
        <f t="shared" si="15"/>
        <v>0.1721132897603487</v>
      </c>
      <c r="N29" s="26">
        <f t="shared" ref="N29" si="16">+N21/N20</f>
        <v>0.21035386631716896</v>
      </c>
      <c r="X29" s="26">
        <f>+X21/X20</f>
        <v>0.20711715313874438</v>
      </c>
    </row>
    <row r="31" spans="2:24" s="27" customFormat="1" x14ac:dyDescent="0.2">
      <c r="B31" s="27" t="s">
        <v>41</v>
      </c>
      <c r="J31" s="27">
        <f t="shared" ref="J31" si="17">+J12/F12-1</f>
        <v>1.8080667593880273E-2</v>
      </c>
      <c r="K31" s="27">
        <f>+K12/G12-1</f>
        <v>0.11082900982448396</v>
      </c>
      <c r="L31" s="27">
        <f>+L12/H12-1</f>
        <v>0.21743621526701773</v>
      </c>
      <c r="M31" s="27">
        <f>+M12/I12-1</f>
        <v>0.17126804223578418</v>
      </c>
      <c r="N31" s="27">
        <f>+N12/J12-1</f>
        <v>0.20187053383774689</v>
      </c>
      <c r="X31" s="27">
        <f>+X12/W12-1</f>
        <v>0.13137203853163237</v>
      </c>
    </row>
    <row r="32" spans="2:24" s="34" customFormat="1" x14ac:dyDescent="0.2">
      <c r="B32" s="33" t="s">
        <v>83</v>
      </c>
      <c r="J32" s="34">
        <f t="shared" ref="J32" si="18">+J9/F9-1</f>
        <v>1.0953902327704101E-2</v>
      </c>
      <c r="K32" s="34">
        <f t="shared" ref="K32:M33" si="19">+K9/G9-1</f>
        <v>-3.4380557202133843E-3</v>
      </c>
      <c r="L32" s="34">
        <f t="shared" si="19"/>
        <v>2.7490261547022721E-2</v>
      </c>
      <c r="M32" s="34">
        <f t="shared" si="19"/>
        <v>7.7486910994764013E-3</v>
      </c>
      <c r="N32" s="34">
        <f t="shared" ref="N32:N33" si="20">+N9/J9-1</f>
        <v>1.027088036117374E-2</v>
      </c>
    </row>
    <row r="33" spans="2:14" s="34" customFormat="1" x14ac:dyDescent="0.2">
      <c r="B33" s="33" t="s">
        <v>84</v>
      </c>
      <c r="J33" s="34">
        <f t="shared" ref="J33" si="21">+J10/F10-1</f>
        <v>0.14485981308411211</v>
      </c>
      <c r="K33" s="34">
        <f t="shared" si="19"/>
        <v>1.5183553597650516</v>
      </c>
      <c r="L33" s="34">
        <f t="shared" si="19"/>
        <v>2.4887714663143989</v>
      </c>
      <c r="M33" s="34">
        <f t="shared" si="19"/>
        <v>2.0417163289630511</v>
      </c>
      <c r="N33" s="34">
        <f t="shared" si="20"/>
        <v>2.5020408163265304</v>
      </c>
    </row>
    <row r="34" spans="2:14" s="27" customFormat="1" x14ac:dyDescent="0.2">
      <c r="B34" s="27" t="s">
        <v>42</v>
      </c>
      <c r="G34" s="27">
        <f t="shared" ref="G34:N34" si="22">+G12/F12-1</f>
        <v>-3.0812025248742936E-2</v>
      </c>
      <c r="H34" s="27">
        <f t="shared" si="22"/>
        <v>6.866100011038756E-2</v>
      </c>
      <c r="I34" s="27">
        <f t="shared" si="22"/>
        <v>6.631546327858695E-2</v>
      </c>
      <c r="J34" s="27">
        <f t="shared" si="22"/>
        <v>-7.8174949142690964E-2</v>
      </c>
      <c r="K34" s="27">
        <f t="shared" si="22"/>
        <v>5.7482135350987784E-2</v>
      </c>
      <c r="L34" s="27">
        <f t="shared" si="22"/>
        <v>0.17122130577362604</v>
      </c>
      <c r="M34" s="27">
        <f t="shared" si="22"/>
        <v>2.5878160529441807E-2</v>
      </c>
      <c r="N34" s="27">
        <f t="shared" si="22"/>
        <v>-5.408981887354225E-2</v>
      </c>
    </row>
    <row r="37" spans="2:14" x14ac:dyDescent="0.2">
      <c r="B37" s="29" t="s">
        <v>50</v>
      </c>
    </row>
    <row r="38" spans="2:14" s="23" customFormat="1" x14ac:dyDescent="0.2">
      <c r="B38" s="23" t="s">
        <v>6</v>
      </c>
      <c r="M38" s="23">
        <v>422.5</v>
      </c>
      <c r="N38" s="23">
        <v>376.1</v>
      </c>
    </row>
    <row r="39" spans="2:14" s="24" customFormat="1" x14ac:dyDescent="0.2">
      <c r="B39" s="24" t="s">
        <v>51</v>
      </c>
      <c r="M39" s="24">
        <v>593.9</v>
      </c>
      <c r="N39" s="24">
        <v>565.29999999999995</v>
      </c>
    </row>
    <row r="40" spans="2:14" s="23" customFormat="1" x14ac:dyDescent="0.2">
      <c r="B40" s="23" t="s">
        <v>52</v>
      </c>
      <c r="M40" s="23">
        <v>526.70000000000005</v>
      </c>
      <c r="N40" s="23">
        <v>518.1</v>
      </c>
    </row>
    <row r="41" spans="2:14" s="24" customFormat="1" x14ac:dyDescent="0.2">
      <c r="B41" s="24" t="s">
        <v>53</v>
      </c>
      <c r="M41" s="24">
        <v>108.4</v>
      </c>
      <c r="N41" s="24">
        <v>122</v>
      </c>
    </row>
    <row r="42" spans="2:14" s="24" customFormat="1" x14ac:dyDescent="0.2">
      <c r="B42" s="24" t="s">
        <v>54</v>
      </c>
      <c r="M42" s="24">
        <f>+SUM(M38:M41)</f>
        <v>1651.5</v>
      </c>
      <c r="N42" s="24">
        <f>+SUM(N38:N41)</f>
        <v>1581.5</v>
      </c>
    </row>
    <row r="43" spans="2:14" s="24" customFormat="1" x14ac:dyDescent="0.2">
      <c r="B43" s="24" t="s">
        <v>55</v>
      </c>
      <c r="M43" s="24">
        <v>343.2</v>
      </c>
      <c r="N43" s="24">
        <v>345</v>
      </c>
    </row>
    <row r="44" spans="2:14" s="24" customFormat="1" x14ac:dyDescent="0.2">
      <c r="B44" s="24" t="s">
        <v>106</v>
      </c>
      <c r="M44" s="24">
        <v>0</v>
      </c>
      <c r="N44" s="24">
        <v>103.6</v>
      </c>
    </row>
    <row r="45" spans="2:14" s="24" customFormat="1" x14ac:dyDescent="0.2">
      <c r="B45" s="24" t="s">
        <v>107</v>
      </c>
      <c r="M45" s="24">
        <v>0</v>
      </c>
      <c r="N45" s="24">
        <f>1492.6+1074.8</f>
        <v>2567.3999999999996</v>
      </c>
    </row>
    <row r="46" spans="2:14" s="24" customFormat="1" x14ac:dyDescent="0.2">
      <c r="B46" s="24" t="s">
        <v>108</v>
      </c>
      <c r="M46" s="24">
        <v>0</v>
      </c>
      <c r="N46" s="24">
        <v>12.3</v>
      </c>
    </row>
    <row r="47" spans="2:14" s="24" customFormat="1" x14ac:dyDescent="0.2">
      <c r="B47" s="24" t="s">
        <v>56</v>
      </c>
      <c r="M47" s="24">
        <v>2760.5</v>
      </c>
      <c r="N47" s="24">
        <v>42.3</v>
      </c>
    </row>
    <row r="48" spans="2:14" s="24" customFormat="1" x14ac:dyDescent="0.2">
      <c r="B48" s="24" t="s">
        <v>57</v>
      </c>
      <c r="M48" s="24">
        <f>+SUM(M42:M47)</f>
        <v>4755.2</v>
      </c>
      <c r="N48" s="24">
        <f>+SUM(N42:N47)</f>
        <v>4652.1000000000004</v>
      </c>
    </row>
    <row r="49" spans="2:14" s="24" customFormat="1" x14ac:dyDescent="0.2"/>
    <row r="50" spans="2:14" s="24" customFormat="1" x14ac:dyDescent="0.2">
      <c r="B50" s="24" t="s">
        <v>58</v>
      </c>
      <c r="M50" s="24">
        <v>454.5</v>
      </c>
      <c r="N50" s="24">
        <v>396.2</v>
      </c>
    </row>
    <row r="51" spans="2:14" s="24" customFormat="1" x14ac:dyDescent="0.2">
      <c r="B51" s="24" t="s">
        <v>59</v>
      </c>
      <c r="M51" s="24">
        <v>391.3</v>
      </c>
      <c r="N51" s="24">
        <v>254.6</v>
      </c>
    </row>
    <row r="52" spans="2:14" s="24" customFormat="1" x14ac:dyDescent="0.2">
      <c r="B52" s="24" t="s">
        <v>109</v>
      </c>
      <c r="M52" s="24">
        <v>0</v>
      </c>
      <c r="N52" s="24">
        <v>86.2</v>
      </c>
    </row>
    <row r="53" spans="2:14" s="24" customFormat="1" x14ac:dyDescent="0.2">
      <c r="B53" s="24" t="s">
        <v>110</v>
      </c>
      <c r="M53" s="24">
        <v>0</v>
      </c>
      <c r="N53" s="24">
        <v>25.4</v>
      </c>
    </row>
    <row r="54" spans="2:14" s="24" customFormat="1" x14ac:dyDescent="0.2">
      <c r="B54" s="24" t="s">
        <v>60</v>
      </c>
      <c r="M54" s="24">
        <f>+M50+M51</f>
        <v>845.8</v>
      </c>
      <c r="N54" s="24">
        <f>+SUM(N50:N53)</f>
        <v>762.4</v>
      </c>
    </row>
    <row r="55" spans="2:14" s="23" customFormat="1" x14ac:dyDescent="0.2">
      <c r="B55" s="23" t="s">
        <v>61</v>
      </c>
      <c r="M55" s="23">
        <v>896.8</v>
      </c>
      <c r="N55" s="23">
        <v>797</v>
      </c>
    </row>
    <row r="56" spans="2:14" s="24" customFormat="1" x14ac:dyDescent="0.2">
      <c r="B56" s="24" t="s">
        <v>113</v>
      </c>
      <c r="M56" s="24">
        <v>0</v>
      </c>
      <c r="N56" s="24">
        <v>87.7</v>
      </c>
    </row>
    <row r="57" spans="2:14" s="24" customFormat="1" x14ac:dyDescent="0.2">
      <c r="B57" s="24" t="s">
        <v>111</v>
      </c>
      <c r="M57" s="24">
        <v>0</v>
      </c>
      <c r="N57" s="24">
        <v>39.6</v>
      </c>
    </row>
    <row r="58" spans="2:14" s="24" customFormat="1" x14ac:dyDescent="0.2">
      <c r="B58" s="24" t="s">
        <v>112</v>
      </c>
      <c r="M58" s="24">
        <v>0</v>
      </c>
      <c r="N58" s="24">
        <v>24.6</v>
      </c>
    </row>
    <row r="59" spans="2:14" s="24" customFormat="1" x14ac:dyDescent="0.2">
      <c r="B59" s="24" t="s">
        <v>62</v>
      </c>
      <c r="M59" s="24">
        <v>287.7</v>
      </c>
      <c r="N59" s="24">
        <v>146.80000000000001</v>
      </c>
    </row>
    <row r="60" spans="2:14" s="24" customFormat="1" x14ac:dyDescent="0.2">
      <c r="B60" s="24" t="s">
        <v>63</v>
      </c>
      <c r="M60" s="24">
        <f>+SUM(M54:M59)</f>
        <v>2030.3</v>
      </c>
      <c r="N60" s="24">
        <f>+SUM(N54:N59)</f>
        <v>1858.1</v>
      </c>
    </row>
    <row r="61" spans="2:14" s="24" customFormat="1" x14ac:dyDescent="0.2"/>
    <row r="62" spans="2:14" s="24" customFormat="1" x14ac:dyDescent="0.2">
      <c r="B62" s="24" t="s">
        <v>64</v>
      </c>
      <c r="M62" s="24">
        <v>2724.9</v>
      </c>
      <c r="N62" s="24">
        <v>2794</v>
      </c>
    </row>
    <row r="63" spans="2:14" s="24" customFormat="1" x14ac:dyDescent="0.2">
      <c r="B63" s="24" t="s">
        <v>65</v>
      </c>
      <c r="M63" s="24">
        <f>+M62+M60</f>
        <v>4755.2</v>
      </c>
      <c r="N63" s="24">
        <f>+N62+N60</f>
        <v>4652.1000000000004</v>
      </c>
    </row>
    <row r="65" spans="2:14" x14ac:dyDescent="0.2">
      <c r="B65" s="1" t="s">
        <v>66</v>
      </c>
      <c r="M65" s="24">
        <f>+M48-M60</f>
        <v>2724.8999999999996</v>
      </c>
      <c r="N65" s="24">
        <f t="shared" ref="N65" si="23">+N48-N60</f>
        <v>2794.0000000000005</v>
      </c>
    </row>
    <row r="66" spans="2:14" x14ac:dyDescent="0.2">
      <c r="B66" s="1" t="s">
        <v>67</v>
      </c>
      <c r="M66" s="1">
        <f>+M65/M24</f>
        <v>88.79077193782787</v>
      </c>
      <c r="N66" s="1">
        <f t="shared" ref="N66" si="24">+N65/N24</f>
        <v>90.994951962221151</v>
      </c>
    </row>
    <row r="68" spans="2:14" x14ac:dyDescent="0.2">
      <c r="B68" s="1" t="s">
        <v>6</v>
      </c>
      <c r="M68" s="24">
        <f>+M38</f>
        <v>422.5</v>
      </c>
      <c r="N68" s="24">
        <f t="shared" ref="N68" si="25">+N38</f>
        <v>376.1</v>
      </c>
    </row>
    <row r="69" spans="2:14" x14ac:dyDescent="0.2">
      <c r="B69" s="1" t="s">
        <v>7</v>
      </c>
      <c r="M69" s="24">
        <f>+M55</f>
        <v>896.8</v>
      </c>
      <c r="N69" s="24">
        <f t="shared" ref="N69" si="26">+N55</f>
        <v>797</v>
      </c>
    </row>
    <row r="70" spans="2:14" x14ac:dyDescent="0.2">
      <c r="B70" s="1" t="s">
        <v>8</v>
      </c>
      <c r="M70" s="24">
        <f>+M68-M69</f>
        <v>-474.29999999999995</v>
      </c>
      <c r="N70" s="24">
        <f t="shared" ref="N70" si="27">+N68-N69</f>
        <v>-420.9</v>
      </c>
    </row>
    <row r="72" spans="2:14" x14ac:dyDescent="0.2">
      <c r="B72" s="1" t="s">
        <v>68</v>
      </c>
      <c r="M72" s="1">
        <v>326.11</v>
      </c>
      <c r="N72" s="1">
        <v>366.18</v>
      </c>
    </row>
    <row r="73" spans="2:14" s="24" customFormat="1" x14ac:dyDescent="0.2">
      <c r="B73" s="24" t="s">
        <v>5</v>
      </c>
      <c r="M73" s="24">
        <f>+M72*M24</f>
        <v>10007.98979</v>
      </c>
      <c r="N73" s="24">
        <f>+N72*N24</f>
        <v>11243.5569</v>
      </c>
    </row>
    <row r="74" spans="2:14" s="24" customFormat="1" x14ac:dyDescent="0.2">
      <c r="B74" s="24" t="s">
        <v>9</v>
      </c>
      <c r="M74" s="24">
        <f>+M73-M70</f>
        <v>10482.289789999999</v>
      </c>
      <c r="N74" s="24">
        <f>+N73-N70</f>
        <v>11664.456899999999</v>
      </c>
    </row>
    <row r="76" spans="2:14" s="48" customFormat="1" x14ac:dyDescent="0.2">
      <c r="B76" s="48" t="s">
        <v>69</v>
      </c>
      <c r="M76" s="48">
        <f>+M72/M66</f>
        <v>3.6727915850122947</v>
      </c>
      <c r="N76" s="48">
        <f>+N72/N66</f>
        <v>4.0241792770221902</v>
      </c>
    </row>
    <row r="77" spans="2:14" x14ac:dyDescent="0.2">
      <c r="B77" s="1" t="s">
        <v>70</v>
      </c>
      <c r="M77" s="48">
        <f>+M73/SUM(J12:M12)</f>
        <v>2.3030167962997052</v>
      </c>
      <c r="N77" s="48">
        <f>+N73/SUM(K12:N12)</f>
        <v>2.4778096612821474</v>
      </c>
    </row>
    <row r="78" spans="2:14" x14ac:dyDescent="0.2">
      <c r="B78" s="1" t="s">
        <v>71</v>
      </c>
      <c r="M78" s="48">
        <f>+M74/SUM(J12:M12)</f>
        <v>2.4121616784793809</v>
      </c>
      <c r="N78" s="48">
        <f>+N74/SUM(K12:N12)</f>
        <v>2.5705659034312536</v>
      </c>
    </row>
    <row r="79" spans="2:14" s="48" customFormat="1" x14ac:dyDescent="0.2">
      <c r="B79" s="48" t="s">
        <v>72</v>
      </c>
      <c r="M79" s="48">
        <f>+M72/SUM(J23:M23)</f>
        <v>25.370281720238186</v>
      </c>
      <c r="N79" s="48">
        <f>+N72/SUM(K23:N23)</f>
        <v>27.472979265924227</v>
      </c>
    </row>
    <row r="80" spans="2:14" x14ac:dyDescent="0.2">
      <c r="B80" s="1" t="s">
        <v>73</v>
      </c>
      <c r="M80" s="48">
        <f>+M74/SUM(J22:M22)</f>
        <v>26.43038272818962</v>
      </c>
      <c r="N80" s="48">
        <f>+N74/SUM(K22:N22)</f>
        <v>28.422165935672513</v>
      </c>
    </row>
    <row r="84" spans="2:2" x14ac:dyDescent="0.2">
      <c r="B84" s="29" t="s">
        <v>74</v>
      </c>
    </row>
  </sheetData>
  <phoneticPr fontId="10" type="noConversion"/>
  <hyperlinks>
    <hyperlink ref="M1" r:id="rId1" xr:uid="{019D7D06-D1F2-4F15-A041-609FD10E0B56}"/>
    <hyperlink ref="L1" r:id="rId2" xr:uid="{C20C2BAC-CE05-459C-AF30-3534D2F9A2C6}"/>
    <hyperlink ref="K1" r:id="rId3" xr:uid="{8CA82C26-FD3D-4512-B36F-FF30C4173E75}"/>
    <hyperlink ref="J1" r:id="rId4" xr:uid="{F1A8B7C8-1E91-47B1-A487-3F38BA98D925}"/>
    <hyperlink ref="N1" r:id="rId5" xr:uid="{F2FC3A8B-CA3E-4140-A421-F2562B19A2D6}"/>
  </hyperlinks>
  <pageMargins left="0.7" right="0.7" top="0.75" bottom="0.75" header="0.3" footer="0.3"/>
  <ignoredErrors>
    <ignoredError sqref="M9:N9 L9:L11 K9 J9:J11 W12:X12 X13 M77:N77 M78:N79" formulaRange="1"/>
    <ignoredError sqref="X14:X22" formula="1" formulaRange="1"/>
  </ignoredError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Financial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CHARLIE-PC</dc:creator>
  <cp:lastModifiedBy>CHARLIE-PC</cp:lastModifiedBy>
  <dcterms:created xsi:type="dcterms:W3CDTF">2025-11-13T15:31:46Z</dcterms:created>
  <dcterms:modified xsi:type="dcterms:W3CDTF">2026-02-16T11:10:22Z</dcterms:modified>
</cp:coreProperties>
</file>