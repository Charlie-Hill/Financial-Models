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My Drive\Stocks\"/>
    </mc:Choice>
  </mc:AlternateContent>
  <xr:revisionPtr revIDLastSave="0" documentId="13_ncr:1_{F618C970-F730-4E84-BEE3-D7621F2CC694}" xr6:coauthVersionLast="47" xr6:coauthVersionMax="47" xr10:uidLastSave="{00000000-0000-0000-0000-000000000000}"/>
  <bookViews>
    <workbookView xWindow="-120" yWindow="-120" windowWidth="29040" windowHeight="15720" activeTab="1" xr2:uid="{4835F308-E20A-4B7A-9F17-94D4123EA96B}"/>
  </bookViews>
  <sheets>
    <sheet name="Main" sheetId="1" r:id="rId1"/>
    <sheet name="Financial Model" sheetId="2" r:id="rId2"/>
    <sheet name="Historical Projections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C37" i="1"/>
  <c r="C36" i="1"/>
  <c r="C35" i="1"/>
  <c r="C34" i="1"/>
  <c r="C33" i="1"/>
  <c r="C10" i="1"/>
  <c r="C9" i="1"/>
  <c r="C7" i="1"/>
  <c r="T92" i="2"/>
  <c r="T90" i="2"/>
  <c r="T89" i="2"/>
  <c r="T81" i="2"/>
  <c r="T79" i="2"/>
  <c r="T78" i="2"/>
  <c r="T75" i="2"/>
  <c r="T76" i="2" s="1"/>
  <c r="T71" i="2"/>
  <c r="T70" i="2"/>
  <c r="T72" i="2" s="1"/>
  <c r="T67" i="2"/>
  <c r="T68" i="2" s="1"/>
  <c r="T65" i="2"/>
  <c r="T56" i="2"/>
  <c r="T62" i="2" s="1"/>
  <c r="T50" i="2"/>
  <c r="T45" i="2"/>
  <c r="T22" i="2"/>
  <c r="T21" i="2"/>
  <c r="T19" i="2"/>
  <c r="T18" i="2"/>
  <c r="T17" i="2"/>
  <c r="T16" i="2"/>
  <c r="T9" i="2"/>
  <c r="T4" i="2"/>
  <c r="T5" i="2"/>
  <c r="T8" i="2" s="1"/>
  <c r="T10" i="2" s="1"/>
  <c r="T12" i="2" s="1"/>
  <c r="T13" i="2" s="1"/>
  <c r="S11" i="2"/>
  <c r="S7" i="2"/>
  <c r="S6" i="2"/>
  <c r="S14" i="2"/>
  <c r="S2" i="2"/>
  <c r="S3" i="2"/>
  <c r="S22" i="2" s="1"/>
  <c r="AE34" i="2"/>
  <c r="C26" i="1" s="1"/>
  <c r="AE30" i="2"/>
  <c r="AE88" i="2"/>
  <c r="AE89" i="2" s="1"/>
  <c r="AE75" i="2"/>
  <c r="AE79" i="2" s="1"/>
  <c r="AE71" i="2"/>
  <c r="AE70" i="2"/>
  <c r="AE72" i="2" s="1"/>
  <c r="AE56" i="2"/>
  <c r="AE62" i="2" s="1"/>
  <c r="AE65" i="2" s="1"/>
  <c r="AE45" i="2"/>
  <c r="AE50" i="2" s="1"/>
  <c r="AE21" i="2"/>
  <c r="AE9" i="2"/>
  <c r="AE4" i="2"/>
  <c r="AE5" i="2" s="1"/>
  <c r="Q87" i="2"/>
  <c r="P89" i="2"/>
  <c r="P92" i="2" s="1"/>
  <c r="R89" i="2"/>
  <c r="R92" i="2" s="1"/>
  <c r="R75" i="2"/>
  <c r="R71" i="2"/>
  <c r="R70" i="2"/>
  <c r="R56" i="2"/>
  <c r="R62" i="2" s="1"/>
  <c r="R65" i="2" s="1"/>
  <c r="R45" i="2"/>
  <c r="R50" i="2" s="1"/>
  <c r="R67" i="2" s="1"/>
  <c r="R68" i="2" s="1"/>
  <c r="R9" i="2"/>
  <c r="S9" i="2" s="1"/>
  <c r="R4" i="2"/>
  <c r="R5" i="2" s="1"/>
  <c r="R16" i="2" s="1"/>
  <c r="R21" i="2"/>
  <c r="R72" i="2" l="1"/>
  <c r="AE67" i="2"/>
  <c r="AE68" i="2" s="1"/>
  <c r="S4" i="2"/>
  <c r="S5" i="2" s="1"/>
  <c r="AE16" i="2"/>
  <c r="AE8" i="2"/>
  <c r="AE17" i="2" s="1"/>
  <c r="AE92" i="2"/>
  <c r="AE93" i="2" s="1"/>
  <c r="AE90" i="2"/>
  <c r="AE76" i="2"/>
  <c r="R78" i="2"/>
  <c r="R76" i="2"/>
  <c r="R8" i="2"/>
  <c r="S16" i="2" l="1"/>
  <c r="S8" i="2"/>
  <c r="S17" i="2" s="1"/>
  <c r="AE10" i="2"/>
  <c r="AE78" i="2"/>
  <c r="AE12" i="2"/>
  <c r="AE19" i="2"/>
  <c r="AE82" i="2"/>
  <c r="AE80" i="2"/>
  <c r="R17" i="2"/>
  <c r="R10" i="2"/>
  <c r="S10" i="2" l="1"/>
  <c r="AE13" i="2"/>
  <c r="AE18" i="2"/>
  <c r="R19" i="2"/>
  <c r="R12" i="2"/>
  <c r="AD25" i="2"/>
  <c r="AC88" i="2"/>
  <c r="AC89" i="2" s="1"/>
  <c r="AC90" i="2" s="1"/>
  <c r="AD88" i="2"/>
  <c r="AD75" i="2"/>
  <c r="AD71" i="2"/>
  <c r="AD70" i="2"/>
  <c r="AD72" i="2" s="1"/>
  <c r="AD56" i="2"/>
  <c r="AD62" i="2" s="1"/>
  <c r="AD65" i="2" s="1"/>
  <c r="AD45" i="2"/>
  <c r="AD50" i="2" s="1"/>
  <c r="AD67" i="2" s="1"/>
  <c r="AD68" i="2" s="1"/>
  <c r="AD78" i="2" s="1"/>
  <c r="AD34" i="2"/>
  <c r="AE38" i="2" s="1"/>
  <c r="Q2" i="2"/>
  <c r="Q14" i="2"/>
  <c r="Q11" i="2"/>
  <c r="Q7" i="2"/>
  <c r="Q6" i="2"/>
  <c r="Q3" i="2"/>
  <c r="AD9" i="2"/>
  <c r="AD4" i="2"/>
  <c r="AD5" i="2" s="1"/>
  <c r="AD8" i="2" s="1"/>
  <c r="Q22" i="2" l="1"/>
  <c r="S21" i="2"/>
  <c r="AE81" i="2"/>
  <c r="C25" i="1"/>
  <c r="AD30" i="2"/>
  <c r="S19" i="2"/>
  <c r="S12" i="2"/>
  <c r="AD17" i="2"/>
  <c r="AD10" i="2"/>
  <c r="AD16" i="2"/>
  <c r="AD76" i="2"/>
  <c r="AD79" i="2"/>
  <c r="R79" i="2"/>
  <c r="R22" i="2"/>
  <c r="AD89" i="2"/>
  <c r="Q88" i="2"/>
  <c r="Q89" i="2" s="1"/>
  <c r="AC92" i="2"/>
  <c r="AC93" i="2" s="1"/>
  <c r="R18" i="2"/>
  <c r="R13" i="2"/>
  <c r="S13" i="2" l="1"/>
  <c r="S18" i="2"/>
  <c r="Q90" i="2"/>
  <c r="R90" i="2"/>
  <c r="AD90" i="2"/>
  <c r="AD92" i="2"/>
  <c r="AD93" i="2" s="1"/>
  <c r="AD80" i="2"/>
  <c r="AD19" i="2"/>
  <c r="AD12" i="2"/>
  <c r="AD21" i="2"/>
  <c r="AF3" i="2"/>
  <c r="AD13" i="2" l="1"/>
  <c r="AD81" i="2" s="1"/>
  <c r="AD18" i="2"/>
  <c r="AD82" i="2"/>
  <c r="P75" i="2"/>
  <c r="P71" i="2"/>
  <c r="P70" i="2"/>
  <c r="P56" i="2"/>
  <c r="P62" i="2" s="1"/>
  <c r="P65" i="2" s="1"/>
  <c r="P45" i="2"/>
  <c r="P50" i="2" s="1"/>
  <c r="P21" i="2"/>
  <c r="P9" i="2"/>
  <c r="Q9" i="2" s="1"/>
  <c r="P4" i="2"/>
  <c r="P5" i="2" l="1"/>
  <c r="P8" i="2" s="1"/>
  <c r="P10" i="2" s="1"/>
  <c r="P12" i="2" s="1"/>
  <c r="P13" i="2" s="1"/>
  <c r="Q4" i="2"/>
  <c r="Q5" i="2" s="1"/>
  <c r="P67" i="2"/>
  <c r="P68" i="2" s="1"/>
  <c r="P72" i="2"/>
  <c r="P76" i="2" s="1"/>
  <c r="P16" i="2"/>
  <c r="P17" i="2"/>
  <c r="Z75" i="2"/>
  <c r="Z79" i="2" s="1"/>
  <c r="Y75" i="2"/>
  <c r="Y79" i="2" s="1"/>
  <c r="X75" i="2"/>
  <c r="X79" i="2" s="1"/>
  <c r="W75" i="2"/>
  <c r="W79" i="2" s="1"/>
  <c r="V75" i="2"/>
  <c r="V79" i="2" s="1"/>
  <c r="L7" i="1"/>
  <c r="AF14" i="2"/>
  <c r="AF6" i="2"/>
  <c r="AF4" i="2"/>
  <c r="AF5" i="2" s="1"/>
  <c r="O29" i="2"/>
  <c r="O27" i="2"/>
  <c r="O26" i="2"/>
  <c r="AC75" i="2"/>
  <c r="AC79" i="2" s="1"/>
  <c r="AC71" i="2"/>
  <c r="AC70" i="2"/>
  <c r="AC56" i="2"/>
  <c r="AC45" i="2"/>
  <c r="AC50" i="2" s="1"/>
  <c r="AC34" i="2"/>
  <c r="AC25" i="2"/>
  <c r="AC30" i="2" s="1"/>
  <c r="O11" i="2"/>
  <c r="O7" i="2"/>
  <c r="O6" i="2"/>
  <c r="O14" i="2"/>
  <c r="O3" i="2"/>
  <c r="Q21" i="2" s="1"/>
  <c r="O2" i="2"/>
  <c r="AC21" i="2"/>
  <c r="AC9" i="2"/>
  <c r="O9" i="2" s="1"/>
  <c r="AC4" i="2"/>
  <c r="O4" i="2" s="1"/>
  <c r="AC5" i="2"/>
  <c r="AC16" i="2" s="1"/>
  <c r="AD38" i="2" l="1"/>
  <c r="P79" i="2"/>
  <c r="Q16" i="2"/>
  <c r="Q8" i="2"/>
  <c r="P18" i="2"/>
  <c r="P19" i="2"/>
  <c r="AC62" i="2"/>
  <c r="AC65" i="2" s="1"/>
  <c r="O5" i="2"/>
  <c r="O16" i="2" s="1"/>
  <c r="P78" i="2"/>
  <c r="O22" i="2"/>
  <c r="P22" i="2"/>
  <c r="AC72" i="2"/>
  <c r="AC76" i="2" s="1"/>
  <c r="AF16" i="2"/>
  <c r="AF7" i="2"/>
  <c r="AF8" i="2" s="1"/>
  <c r="O25" i="2"/>
  <c r="AC8" i="2"/>
  <c r="AC10" i="2" s="1"/>
  <c r="AC19" i="2" s="1"/>
  <c r="O8" i="2" l="1"/>
  <c r="AC67" i="2"/>
  <c r="AC68" i="2" s="1"/>
  <c r="AC78" i="2" s="1"/>
  <c r="AC17" i="2"/>
  <c r="AC12" i="2"/>
  <c r="AC13" i="2" s="1"/>
  <c r="Q10" i="2"/>
  <c r="Q17" i="2"/>
  <c r="AF17" i="2"/>
  <c r="AC18" i="2"/>
  <c r="AC80" i="2"/>
  <c r="O10" i="2"/>
  <c r="O17" i="2"/>
  <c r="N75" i="2"/>
  <c r="N71" i="2"/>
  <c r="N70" i="2"/>
  <c r="N56" i="2"/>
  <c r="N45" i="2"/>
  <c r="N50" i="2" s="1"/>
  <c r="N5" i="2"/>
  <c r="N8" i="2" s="1"/>
  <c r="N10" i="2" s="1"/>
  <c r="N12" i="2" s="1"/>
  <c r="N18" i="2" s="1"/>
  <c r="AC82" i="2" l="1"/>
  <c r="Q12" i="2"/>
  <c r="Q19" i="2"/>
  <c r="N62" i="2"/>
  <c r="N65" i="2" s="1"/>
  <c r="AC81" i="2"/>
  <c r="N67" i="2"/>
  <c r="N68" i="2" s="1"/>
  <c r="N78" i="2" s="1"/>
  <c r="N72" i="2"/>
  <c r="N76" i="2"/>
  <c r="O12" i="2"/>
  <c r="O19" i="2"/>
  <c r="N13" i="2"/>
  <c r="N19" i="2"/>
  <c r="N16" i="2"/>
  <c r="N17" i="2"/>
  <c r="N21" i="2"/>
  <c r="Q13" i="2" l="1"/>
  <c r="Q18" i="2"/>
  <c r="O13" i="2"/>
  <c r="O18" i="2"/>
  <c r="AA34" i="2"/>
  <c r="Z34" i="2"/>
  <c r="Y34" i="2"/>
  <c r="X34" i="2"/>
  <c r="W34" i="2"/>
  <c r="V34" i="2"/>
  <c r="AB34" i="2"/>
  <c r="AB38" i="2" l="1"/>
  <c r="AC38" i="2"/>
  <c r="R81" i="2"/>
  <c r="P81" i="2"/>
  <c r="AG19" i="2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G14" i="2"/>
  <c r="AG6" i="2"/>
  <c r="AH6" i="2" s="1"/>
  <c r="AB25" i="2"/>
  <c r="AB30" i="2" s="1"/>
  <c r="L75" i="2"/>
  <c r="H75" i="2"/>
  <c r="AA75" i="2"/>
  <c r="AB75" i="2"/>
  <c r="H71" i="2"/>
  <c r="H70" i="2"/>
  <c r="L71" i="2"/>
  <c r="L70" i="2"/>
  <c r="AA71" i="2"/>
  <c r="AA70" i="2"/>
  <c r="AB71" i="2"/>
  <c r="AB70" i="2"/>
  <c r="AA56" i="2"/>
  <c r="AB56" i="2"/>
  <c r="AA45" i="2"/>
  <c r="AA50" i="2" s="1"/>
  <c r="AB45" i="2"/>
  <c r="AB50" i="2" s="1"/>
  <c r="M14" i="2"/>
  <c r="AB21" i="2"/>
  <c r="AB9" i="2"/>
  <c r="AB5" i="2"/>
  <c r="AB8" i="2" s="1"/>
  <c r="AB17" i="2" s="1"/>
  <c r="M11" i="2"/>
  <c r="M7" i="2"/>
  <c r="M6" i="2"/>
  <c r="M4" i="2"/>
  <c r="M3" i="2"/>
  <c r="AA72" i="2" l="1"/>
  <c r="O21" i="2"/>
  <c r="N79" i="2"/>
  <c r="AA62" i="2"/>
  <c r="AA67" i="2" s="1"/>
  <c r="AA68" i="2" s="1"/>
  <c r="AA78" i="2" s="1"/>
  <c r="AB62" i="2"/>
  <c r="AB65" i="2" s="1"/>
  <c r="AG3" i="2"/>
  <c r="M22" i="2"/>
  <c r="N22" i="2"/>
  <c r="AI6" i="2"/>
  <c r="AJ6" i="2" s="1"/>
  <c r="AK6" i="2" s="1"/>
  <c r="H72" i="2"/>
  <c r="H76" i="2" s="1"/>
  <c r="AB72" i="2"/>
  <c r="AB76" i="2" s="1"/>
  <c r="AB80" i="2" s="1"/>
  <c r="AB10" i="2"/>
  <c r="L72" i="2"/>
  <c r="L76" i="2" s="1"/>
  <c r="AA76" i="2"/>
  <c r="AA79" i="2"/>
  <c r="AB79" i="2"/>
  <c r="M5" i="2"/>
  <c r="M16" i="2" s="1"/>
  <c r="AB16" i="2"/>
  <c r="M9" i="2"/>
  <c r="W30" i="2"/>
  <c r="V30" i="2"/>
  <c r="W32" i="2"/>
  <c r="V32" i="2"/>
  <c r="W21" i="2"/>
  <c r="V9" i="2"/>
  <c r="W9" i="2"/>
  <c r="V5" i="2"/>
  <c r="V8" i="2" s="1"/>
  <c r="X21" i="2"/>
  <c r="W5" i="2"/>
  <c r="W16" i="2" s="1"/>
  <c r="AB67" i="2" l="1"/>
  <c r="AB68" i="2" s="1"/>
  <c r="AB78" i="2" s="1"/>
  <c r="AH3" i="2"/>
  <c r="AG4" i="2"/>
  <c r="AA65" i="2"/>
  <c r="AL6" i="2"/>
  <c r="AA80" i="2"/>
  <c r="M8" i="2"/>
  <c r="M10" i="2" s="1"/>
  <c r="M12" i="2" s="1"/>
  <c r="AB12" i="2"/>
  <c r="AB82" i="2" s="1"/>
  <c r="AB19" i="2"/>
  <c r="V16" i="2"/>
  <c r="V17" i="2"/>
  <c r="V10" i="2"/>
  <c r="W8" i="2"/>
  <c r="AI3" i="2" l="1"/>
  <c r="AH4" i="2"/>
  <c r="AM6" i="2"/>
  <c r="AN6" i="2" s="1"/>
  <c r="M19" i="2"/>
  <c r="M17" i="2"/>
  <c r="AB13" i="2"/>
  <c r="AB81" i="2" s="1"/>
  <c r="AB18" i="2"/>
  <c r="M18" i="2"/>
  <c r="V12" i="2"/>
  <c r="V18" i="2" s="1"/>
  <c r="V19" i="2"/>
  <c r="W17" i="2"/>
  <c r="W10" i="2"/>
  <c r="AJ3" i="2" l="1"/>
  <c r="AI4" i="2"/>
  <c r="AO6" i="2"/>
  <c r="AP6" i="2" s="1"/>
  <c r="AQ6" i="2" s="1"/>
  <c r="V13" i="2"/>
  <c r="V81" i="2" s="1"/>
  <c r="W12" i="2"/>
  <c r="W13" i="2" s="1"/>
  <c r="W81" i="2" s="1"/>
  <c r="W19" i="2"/>
  <c r="AK3" i="2" l="1"/>
  <c r="AJ4" i="2"/>
  <c r="AR6" i="2"/>
  <c r="AS6" i="2" s="1"/>
  <c r="W18" i="2"/>
  <c r="AL3" i="2" l="1"/>
  <c r="AK4" i="2"/>
  <c r="AT6" i="2"/>
  <c r="AU6" i="2" s="1"/>
  <c r="G14" i="2"/>
  <c r="I14" i="2"/>
  <c r="K14" i="2"/>
  <c r="M13" i="2"/>
  <c r="N81" i="2" s="1"/>
  <c r="H21" i="2"/>
  <c r="J21" i="2"/>
  <c r="L21" i="2"/>
  <c r="Y21" i="2"/>
  <c r="Z21" i="2"/>
  <c r="AA21" i="2"/>
  <c r="AX21" i="2"/>
  <c r="Y25" i="2"/>
  <c r="Y30" i="2" s="1"/>
  <c r="AA25" i="2"/>
  <c r="AA30" i="2" s="1"/>
  <c r="AM3" i="2" l="1"/>
  <c r="AL4" i="2"/>
  <c r="AH14" i="2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H56" i="2"/>
  <c r="H45" i="2"/>
  <c r="H50" i="2" s="1"/>
  <c r="G11" i="2"/>
  <c r="G7" i="2"/>
  <c r="G6" i="2"/>
  <c r="G4" i="2"/>
  <c r="G3" i="2"/>
  <c r="H79" i="2" s="1"/>
  <c r="I11" i="2"/>
  <c r="I7" i="2"/>
  <c r="I6" i="2"/>
  <c r="I4" i="2"/>
  <c r="I3" i="2"/>
  <c r="F9" i="2"/>
  <c r="F5" i="2"/>
  <c r="H9" i="2"/>
  <c r="H5" i="2"/>
  <c r="X9" i="2"/>
  <c r="X5" i="2"/>
  <c r="Y9" i="2"/>
  <c r="Y5" i="2"/>
  <c r="Y16" i="2" s="1"/>
  <c r="K11" i="2"/>
  <c r="K9" i="2"/>
  <c r="K7" i="2"/>
  <c r="K6" i="2"/>
  <c r="K4" i="2"/>
  <c r="K3" i="2"/>
  <c r="L79" i="2" s="1"/>
  <c r="Z9" i="2"/>
  <c r="AF9" i="2" s="1"/>
  <c r="Z5" i="2"/>
  <c r="Z16" i="2" s="1"/>
  <c r="AA5" i="2"/>
  <c r="L56" i="2"/>
  <c r="L45" i="2"/>
  <c r="L50" i="2" s="1"/>
  <c r="J5" i="2"/>
  <c r="J16" i="2" s="1"/>
  <c r="L5" i="2"/>
  <c r="L16" i="2" s="1"/>
  <c r="AN3" i="2" l="1"/>
  <c r="AM4" i="2"/>
  <c r="L62" i="2"/>
  <c r="L67" i="2" s="1"/>
  <c r="L68" i="2" s="1"/>
  <c r="L78" i="2" s="1"/>
  <c r="H62" i="2"/>
  <c r="H65" i="2" s="1"/>
  <c r="AF10" i="2"/>
  <c r="AF12" i="2" s="1"/>
  <c r="AF11" i="2" s="1"/>
  <c r="M21" i="2"/>
  <c r="I9" i="2"/>
  <c r="K5" i="2"/>
  <c r="K16" i="2" s="1"/>
  <c r="I5" i="2"/>
  <c r="I16" i="2" s="1"/>
  <c r="G9" i="2"/>
  <c r="H8" i="2"/>
  <c r="H16" i="2"/>
  <c r="AA8" i="2"/>
  <c r="AA17" i="2" s="1"/>
  <c r="AA16" i="2"/>
  <c r="X8" i="2"/>
  <c r="X17" i="2" s="1"/>
  <c r="X16" i="2"/>
  <c r="G22" i="2"/>
  <c r="H22" i="2"/>
  <c r="K22" i="2"/>
  <c r="L22" i="2"/>
  <c r="K21" i="2"/>
  <c r="F8" i="2"/>
  <c r="F17" i="2" s="1"/>
  <c r="F16" i="2"/>
  <c r="I22" i="2"/>
  <c r="J22" i="2"/>
  <c r="I21" i="2"/>
  <c r="G5" i="2"/>
  <c r="G16" i="2" s="1"/>
  <c r="L8" i="2"/>
  <c r="L17" i="2" s="1"/>
  <c r="Z8" i="2"/>
  <c r="Z17" i="2" s="1"/>
  <c r="J8" i="2"/>
  <c r="J17" i="2" s="1"/>
  <c r="Y8" i="2"/>
  <c r="Y17" i="2" s="1"/>
  <c r="H67" i="2" l="1"/>
  <c r="H68" i="2" s="1"/>
  <c r="H78" i="2" s="1"/>
  <c r="AO3" i="2"/>
  <c r="AN4" i="2"/>
  <c r="L65" i="2"/>
  <c r="AF18" i="2"/>
  <c r="AF13" i="2"/>
  <c r="I8" i="2"/>
  <c r="I10" i="2" s="1"/>
  <c r="K8" i="2"/>
  <c r="K17" i="2" s="1"/>
  <c r="F10" i="2"/>
  <c r="H10" i="2"/>
  <c r="H17" i="2"/>
  <c r="AA10" i="2"/>
  <c r="X10" i="2"/>
  <c r="J10" i="2"/>
  <c r="G8" i="2"/>
  <c r="G17" i="2" s="1"/>
  <c r="Y10" i="2"/>
  <c r="Y19" i="2" s="1"/>
  <c r="L10" i="2"/>
  <c r="Z10" i="2"/>
  <c r="AP3" i="2" l="1"/>
  <c r="AO4" i="2"/>
  <c r="K10" i="2"/>
  <c r="K19" i="2" s="1"/>
  <c r="I17" i="2"/>
  <c r="AG5" i="2"/>
  <c r="F12" i="2"/>
  <c r="F18" i="2" s="1"/>
  <c r="F19" i="2"/>
  <c r="AA12" i="2"/>
  <c r="AA19" i="2"/>
  <c r="X12" i="2"/>
  <c r="X19" i="2"/>
  <c r="H12" i="2"/>
  <c r="H13" i="2" s="1"/>
  <c r="H19" i="2"/>
  <c r="Z12" i="2"/>
  <c r="Z18" i="2" s="1"/>
  <c r="Z19" i="2"/>
  <c r="I12" i="2"/>
  <c r="I18" i="2" s="1"/>
  <c r="I19" i="2"/>
  <c r="L12" i="2"/>
  <c r="L18" i="2" s="1"/>
  <c r="L19" i="2"/>
  <c r="J12" i="2"/>
  <c r="J18" i="2" s="1"/>
  <c r="J19" i="2"/>
  <c r="Y12" i="2"/>
  <c r="Y18" i="2" s="1"/>
  <c r="G10" i="2"/>
  <c r="G19" i="2" s="1"/>
  <c r="C8" i="1"/>
  <c r="C11" i="1"/>
  <c r="AQ3" i="2" l="1"/>
  <c r="AP4" i="2"/>
  <c r="AG7" i="2"/>
  <c r="AG16" i="2"/>
  <c r="K12" i="2"/>
  <c r="K18" i="2" s="1"/>
  <c r="AX18" i="2"/>
  <c r="AA18" i="2"/>
  <c r="AA82" i="2"/>
  <c r="F13" i="2"/>
  <c r="J13" i="2"/>
  <c r="H18" i="2"/>
  <c r="AA13" i="2"/>
  <c r="AH5" i="2"/>
  <c r="AH7" i="2" s="1"/>
  <c r="X18" i="2"/>
  <c r="X13" i="2"/>
  <c r="X81" i="2" s="1"/>
  <c r="I13" i="2"/>
  <c r="Z13" i="2"/>
  <c r="Z81" i="2" s="1"/>
  <c r="L13" i="2"/>
  <c r="G12" i="2"/>
  <c r="G18" i="2" s="1"/>
  <c r="Y13" i="2"/>
  <c r="Y81" i="2" s="1"/>
  <c r="C12" i="1"/>
  <c r="AR3" i="2" l="1"/>
  <c r="AQ4" i="2"/>
  <c r="K13" i="2"/>
  <c r="L81" i="2" s="1"/>
  <c r="AH16" i="2"/>
  <c r="AA81" i="2"/>
  <c r="AI5" i="2"/>
  <c r="AI7" i="2" s="1"/>
  <c r="G13" i="2"/>
  <c r="AS3" i="2" l="1"/>
  <c r="AR4" i="2"/>
  <c r="AI16" i="2"/>
  <c r="AJ5" i="2"/>
  <c r="AJ7" i="2" s="1"/>
  <c r="AT3" i="2" l="1"/>
  <c r="AS4" i="2"/>
  <c r="AJ16" i="2"/>
  <c r="AK5" i="2"/>
  <c r="AK7" i="2" s="1"/>
  <c r="AG8" i="2"/>
  <c r="AG17" i="2" s="1"/>
  <c r="AU3" i="2" l="1"/>
  <c r="AU4" i="2" s="1"/>
  <c r="AT4" i="2"/>
  <c r="AK16" i="2"/>
  <c r="AG10" i="2"/>
  <c r="AG11" i="2" s="1"/>
  <c r="AL5" i="2"/>
  <c r="AL7" i="2" s="1"/>
  <c r="AH8" i="2"/>
  <c r="AH17" i="2" s="1"/>
  <c r="AL16" i="2" l="1"/>
  <c r="AG12" i="2"/>
  <c r="AG13" i="2" s="1"/>
  <c r="AM5" i="2"/>
  <c r="AM7" i="2" s="1"/>
  <c r="AI8" i="2"/>
  <c r="AI17" i="2" s="1"/>
  <c r="AH10" i="2"/>
  <c r="AH11" i="2" s="1"/>
  <c r="AM16" i="2" l="1"/>
  <c r="AG18" i="2"/>
  <c r="AN5" i="2"/>
  <c r="AN7" i="2" s="1"/>
  <c r="AI10" i="2"/>
  <c r="AI11" i="2" s="1"/>
  <c r="AH12" i="2"/>
  <c r="AJ8" i="2"/>
  <c r="AJ17" i="2" s="1"/>
  <c r="AN16" i="2" l="1"/>
  <c r="AO5" i="2"/>
  <c r="AO7" i="2" s="1"/>
  <c r="AH13" i="2"/>
  <c r="AH18" i="2"/>
  <c r="AJ10" i="2"/>
  <c r="AJ11" i="2" s="1"/>
  <c r="AK8" i="2"/>
  <c r="AK17" i="2" s="1"/>
  <c r="AI12" i="2"/>
  <c r="AO16" i="2" l="1"/>
  <c r="AP5" i="2"/>
  <c r="AP7" i="2" s="1"/>
  <c r="AI13" i="2"/>
  <c r="AI18" i="2"/>
  <c r="AK10" i="2"/>
  <c r="AK11" i="2" s="1"/>
  <c r="AL8" i="2"/>
  <c r="AL17" i="2" s="1"/>
  <c r="AJ12" i="2"/>
  <c r="AP16" i="2" l="1"/>
  <c r="AQ5" i="2"/>
  <c r="AQ7" i="2" s="1"/>
  <c r="AJ13" i="2"/>
  <c r="AJ18" i="2"/>
  <c r="AM8" i="2"/>
  <c r="AM17" i="2" s="1"/>
  <c r="AL10" i="2"/>
  <c r="AL11" i="2" s="1"/>
  <c r="AK12" i="2"/>
  <c r="AQ16" i="2" l="1"/>
  <c r="AR5" i="2"/>
  <c r="AR7" i="2" s="1"/>
  <c r="AM10" i="2"/>
  <c r="AM11" i="2" s="1"/>
  <c r="AK13" i="2"/>
  <c r="AK18" i="2"/>
  <c r="AL12" i="2"/>
  <c r="AN8" i="2"/>
  <c r="AN17" i="2" s="1"/>
  <c r="AR16" i="2" l="1"/>
  <c r="AS5" i="2"/>
  <c r="AS7" i="2" s="1"/>
  <c r="AN10" i="2"/>
  <c r="AN11" i="2" s="1"/>
  <c r="AO8" i="2"/>
  <c r="AO17" i="2" s="1"/>
  <c r="AL13" i="2"/>
  <c r="AL18" i="2"/>
  <c r="AM12" i="2"/>
  <c r="AS16" i="2" l="1"/>
  <c r="AT5" i="2"/>
  <c r="AT7" i="2" s="1"/>
  <c r="AO10" i="2"/>
  <c r="AO11" i="2" s="1"/>
  <c r="AM13" i="2"/>
  <c r="AM18" i="2"/>
  <c r="AP8" i="2"/>
  <c r="AP17" i="2" s="1"/>
  <c r="AN12" i="2"/>
  <c r="AT16" i="2" l="1"/>
  <c r="AU5" i="2"/>
  <c r="AU7" i="2" s="1"/>
  <c r="AP10" i="2"/>
  <c r="AP11" i="2" s="1"/>
  <c r="AQ8" i="2"/>
  <c r="AQ17" i="2" s="1"/>
  <c r="AN13" i="2"/>
  <c r="AN18" i="2"/>
  <c r="AO12" i="2"/>
  <c r="AU16" i="2" l="1"/>
  <c r="AO13" i="2"/>
  <c r="AO18" i="2"/>
  <c r="AQ10" i="2"/>
  <c r="AQ11" i="2" s="1"/>
  <c r="AR8" i="2"/>
  <c r="AR17" i="2" s="1"/>
  <c r="AP12" i="2"/>
  <c r="AP13" i="2" l="1"/>
  <c r="AP18" i="2"/>
  <c r="AR10" i="2"/>
  <c r="AR11" i="2" s="1"/>
  <c r="AS8" i="2"/>
  <c r="AS17" i="2" s="1"/>
  <c r="AQ12" i="2"/>
  <c r="AS10" i="2" l="1"/>
  <c r="AS11" i="2" s="1"/>
  <c r="AU8" i="2"/>
  <c r="AU17" i="2" s="1"/>
  <c r="AT8" i="2"/>
  <c r="AT17" i="2" s="1"/>
  <c r="AQ13" i="2"/>
  <c r="AQ18" i="2"/>
  <c r="AR12" i="2"/>
  <c r="AR13" i="2" l="1"/>
  <c r="AR18" i="2"/>
  <c r="AT10" i="2"/>
  <c r="AT11" i="2" s="1"/>
  <c r="AU10" i="2"/>
  <c r="AU11" i="2" s="1"/>
  <c r="AS12" i="2"/>
  <c r="AS13" i="2" l="1"/>
  <c r="AS18" i="2"/>
  <c r="AU12" i="2"/>
  <c r="AT12" i="2"/>
  <c r="AT13" i="2" l="1"/>
  <c r="AT18" i="2"/>
  <c r="AU13" i="2"/>
  <c r="AV12" i="2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AX17" i="2" s="1"/>
  <c r="AX19" i="2" s="1"/>
  <c r="AX20" i="2" s="1"/>
  <c r="AX23" i="2" s="1"/>
  <c r="AU18" i="2"/>
  <c r="AX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</author>
    <author>CHARLIE-PC</author>
  </authors>
  <commentList>
    <comment ref="P4" authorId="0" shapeId="0" xr:uid="{FF6883B4-3C30-4584-980F-D498EF8038BA}">
      <text>
        <r>
          <rPr>
            <b/>
            <sz val="9"/>
            <color indexed="81"/>
            <rFont val="Tahoma"/>
            <family val="2"/>
          </rPr>
          <t>me:</t>
        </r>
        <r>
          <rPr>
            <sz val="9"/>
            <color indexed="81"/>
            <rFont val="Tahoma"/>
            <family val="2"/>
          </rPr>
          <t xml:space="preserve">
BOWL now include Centre Staff Costs in COGS</t>
        </r>
      </text>
    </comment>
    <comment ref="AC4" authorId="0" shapeId="0" xr:uid="{3A373CEE-C2EA-4293-ACE0-4FDA99EC17ED}">
      <text>
        <r>
          <rPr>
            <b/>
            <sz val="9"/>
            <color indexed="81"/>
            <rFont val="Tahoma"/>
            <family val="2"/>
          </rPr>
          <t>me:</t>
        </r>
        <r>
          <rPr>
            <sz val="9"/>
            <color indexed="81"/>
            <rFont val="Tahoma"/>
            <family val="2"/>
          </rPr>
          <t xml:space="preserve">
Now includes staffing costs</t>
        </r>
      </text>
    </comment>
    <comment ref="Y26" authorId="0" shapeId="0" xr:uid="{5616BD4F-B890-4AFE-A4FB-FC8F593A5B53}">
      <text>
        <r>
          <rPr>
            <b/>
            <sz val="9"/>
            <color rgb="FF000000"/>
            <rFont val="Tahoma"/>
            <family val="2"/>
          </rPr>
          <t xml:space="preserve">7 in pipeline
</t>
        </r>
        <r>
          <rPr>
            <b/>
            <sz val="9"/>
            <color rgb="FF000000"/>
            <rFont val="Tahoma"/>
            <family val="2"/>
          </rPr>
          <t xml:space="preserve">- 1 (2020) 
</t>
        </r>
        <r>
          <rPr>
            <b/>
            <sz val="9"/>
            <color rgb="FF000000"/>
            <rFont val="Tahoma"/>
            <family val="2"/>
          </rPr>
          <t xml:space="preserve">- 2 (2021)
</t>
        </r>
        <r>
          <rPr>
            <b/>
            <sz val="9"/>
            <color rgb="FF000000"/>
            <rFont val="Tahoma"/>
            <family val="2"/>
          </rPr>
          <t xml:space="preserve">- 2 (2022)
</t>
        </r>
        <r>
          <rPr>
            <b/>
            <sz val="9"/>
            <color rgb="FF000000"/>
            <rFont val="Tahoma"/>
            <family val="2"/>
          </rPr>
          <t>- 2 (2023)</t>
        </r>
      </text>
    </comment>
    <comment ref="AE26" authorId="1" shapeId="0" xr:uid="{2300F2BA-F344-4930-808A-295667545397}">
      <text>
        <r>
          <rPr>
            <b/>
            <sz val="9"/>
            <color indexed="81"/>
            <rFont val="Tahoma"/>
            <charset val="1"/>
          </rPr>
          <t>CHARLIE-PC:</t>
        </r>
        <r>
          <rPr>
            <sz val="9"/>
            <color indexed="81"/>
            <rFont val="Tahoma"/>
            <charset val="1"/>
          </rPr>
          <t xml:space="preserve">
Including Puttstars (Now Putt &amp; Play)</t>
        </r>
      </text>
    </comment>
    <comment ref="Y29" authorId="0" shapeId="0" xr:uid="{AE676B7E-3B85-4E78-BE19-CF820BAD4676}">
      <text>
        <r>
          <rPr>
            <b/>
            <sz val="9"/>
            <color indexed="81"/>
            <rFont val="Tahoma"/>
            <family val="2"/>
          </rPr>
          <t>3 in pipeline</t>
        </r>
      </text>
    </comment>
  </commentList>
</comments>
</file>

<file path=xl/sharedStrings.xml><?xml version="1.0" encoding="utf-8"?>
<sst xmlns="http://schemas.openxmlformats.org/spreadsheetml/2006/main" count="252" uniqueCount="175">
  <si>
    <t>£BOWL</t>
  </si>
  <si>
    <t>Hollywood Bowl Group Plc</t>
  </si>
  <si>
    <t>Stock Snapshot</t>
  </si>
  <si>
    <t>Price</t>
  </si>
  <si>
    <t>Shares</t>
  </si>
  <si>
    <t>MC</t>
  </si>
  <si>
    <t>Cash</t>
  </si>
  <si>
    <t>Debt</t>
  </si>
  <si>
    <t>Net Cash</t>
  </si>
  <si>
    <t>EV</t>
  </si>
  <si>
    <t>Management</t>
  </si>
  <si>
    <t>CEO</t>
  </si>
  <si>
    <t>Revenue</t>
  </si>
  <si>
    <t>H119</t>
  </si>
  <si>
    <t>H120</t>
  </si>
  <si>
    <t>H220</t>
  </si>
  <si>
    <t>H121</t>
  </si>
  <si>
    <t>H221</t>
  </si>
  <si>
    <t>H122</t>
  </si>
  <si>
    <t>H222</t>
  </si>
  <si>
    <t>FY19</t>
  </si>
  <si>
    <t>FY20</t>
  </si>
  <si>
    <t>FY21</t>
  </si>
  <si>
    <t>FY22</t>
  </si>
  <si>
    <t>FY23</t>
  </si>
  <si>
    <t>FY18</t>
  </si>
  <si>
    <t>Profile</t>
  </si>
  <si>
    <t>HQ</t>
  </si>
  <si>
    <t>Founded</t>
  </si>
  <si>
    <t>Hemel, UK</t>
  </si>
  <si>
    <t>IR</t>
  </si>
  <si>
    <t>Link</t>
  </si>
  <si>
    <t>Sites</t>
  </si>
  <si>
    <t>COGS</t>
  </si>
  <si>
    <t>Gross Profit</t>
  </si>
  <si>
    <t>Other Income</t>
  </si>
  <si>
    <t>Administrative Expenses</t>
  </si>
  <si>
    <t>Operating Income</t>
  </si>
  <si>
    <t>Finance Expenses</t>
  </si>
  <si>
    <t>Pretax Income</t>
  </si>
  <si>
    <t>Taxes</t>
  </si>
  <si>
    <t>Net Income</t>
  </si>
  <si>
    <t>EPS</t>
  </si>
  <si>
    <t>Gross Margin</t>
  </si>
  <si>
    <t>Operating Margin</t>
  </si>
  <si>
    <t>Net Margin</t>
  </si>
  <si>
    <t>Revenue Y/Y</t>
  </si>
  <si>
    <t>Revenue H/H</t>
  </si>
  <si>
    <t>Balance Sheet</t>
  </si>
  <si>
    <t>PP&amp;E</t>
  </si>
  <si>
    <t>ROU Assets</t>
  </si>
  <si>
    <t>Goodwill + Intangibles</t>
  </si>
  <si>
    <t>Deferred Taxes</t>
  </si>
  <si>
    <t>Total NCA</t>
  </si>
  <si>
    <t>Trade &amp; A/R</t>
  </si>
  <si>
    <t>Taxes Receivable</t>
  </si>
  <si>
    <t>Inventories</t>
  </si>
  <si>
    <t>Assets</t>
  </si>
  <si>
    <t>Trade &amp; A/P</t>
  </si>
  <si>
    <t>Lease Liabilities</t>
  </si>
  <si>
    <t>Loans &amp; Borrowings</t>
  </si>
  <si>
    <t>Current Liabilities</t>
  </si>
  <si>
    <t>Other Payables</t>
  </si>
  <si>
    <t>Provisions</t>
  </si>
  <si>
    <t>Liabilities</t>
  </si>
  <si>
    <t>S/E</t>
  </si>
  <si>
    <t>S/E+L</t>
  </si>
  <si>
    <t>(Projected)</t>
  </si>
  <si>
    <t>Key Events</t>
  </si>
  <si>
    <t>FY17</t>
  </si>
  <si>
    <t>FY16</t>
  </si>
  <si>
    <t>-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</si>
  <si>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</si>
  <si>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</si>
  <si>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</si>
  <si>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</si>
  <si>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</si>
  <si>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</si>
  <si>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</si>
  <si>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</si>
  <si>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</si>
  <si>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</si>
  <si>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</si>
  <si>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</si>
  <si>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</si>
  <si>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</si>
  <si>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</si>
  <si>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Maturity Value</t>
  </si>
  <si>
    <t>Discount Rate</t>
  </si>
  <si>
    <t>NPV</t>
  </si>
  <si>
    <t>Total Value</t>
  </si>
  <si>
    <t>Per Share</t>
  </si>
  <si>
    <t>Current Share Price</t>
  </si>
  <si>
    <t>Projected Upside</t>
  </si>
  <si>
    <t>Steve Burns</t>
  </si>
  <si>
    <t>CFO</t>
  </si>
  <si>
    <t>Laurence Keen</t>
  </si>
  <si>
    <t>Hollywood Bowl</t>
  </si>
  <si>
    <t>AMF Bowling</t>
  </si>
  <si>
    <t>Puttstars</t>
  </si>
  <si>
    <t>Ten Entertainment Group</t>
  </si>
  <si>
    <t>Competitors</t>
  </si>
  <si>
    <t>No Sites</t>
  </si>
  <si>
    <t>Company</t>
  </si>
  <si>
    <t>QLP</t>
  </si>
  <si>
    <t>Disco Bowl</t>
  </si>
  <si>
    <t>Namco</t>
  </si>
  <si>
    <t>MFA</t>
  </si>
  <si>
    <t>Others</t>
  </si>
  <si>
    <t xml:space="preserve"> </t>
  </si>
  <si>
    <t>No. Sites</t>
  </si>
  <si>
    <t>H218</t>
  </si>
  <si>
    <t>H219</t>
  </si>
  <si>
    <t>H118</t>
  </si>
  <si>
    <t>Emply.</t>
  </si>
  <si>
    <t>Games Played</t>
  </si>
  <si>
    <t>Rev per Game Played</t>
  </si>
  <si>
    <t>Rev Per Site</t>
  </si>
  <si>
    <t>IPO</t>
  </si>
  <si>
    <t>Adverse Economic Conditions</t>
  </si>
  <si>
    <t>Decline in discretionary leisure activity could impact sales</t>
  </si>
  <si>
    <t>IT Outages/Glitches/Issues</t>
  </si>
  <si>
    <t>Customers may not be able to book through website</t>
  </si>
  <si>
    <t>Lowest price-per-game of any branded operators</t>
  </si>
  <si>
    <t>Majority of centre-locations based in high footfall areas</t>
  </si>
  <si>
    <t>Highlighted Risks</t>
  </si>
  <si>
    <t>Mitigations to Highlighted Risks</t>
  </si>
  <si>
    <t>All core systems are backed up (disaster recovery centre)</t>
  </si>
  <si>
    <t>Also reliant on Microsoft Azure &amp; 365 for cloud/email</t>
  </si>
  <si>
    <t>https://www.trustpilot.com/review/www.hollywoodbowl.co.uk</t>
  </si>
  <si>
    <t>Scrape reviews</t>
  </si>
  <si>
    <t>Book Value</t>
  </si>
  <si>
    <t>Book Value per Share</t>
  </si>
  <si>
    <t>Ratios</t>
  </si>
  <si>
    <t>P/B</t>
  </si>
  <si>
    <t>P/S</t>
  </si>
  <si>
    <t>P/E</t>
  </si>
  <si>
    <t>Tax Rate</t>
  </si>
  <si>
    <t>£BOWL strikes deal for 36k SQFT site in Birmingham, Merry Hill</t>
  </si>
  <si>
    <t>Update</t>
  </si>
  <si>
    <t>Share Price</t>
  </si>
  <si>
    <t>EV/S</t>
  </si>
  <si>
    <t>EV/E</t>
  </si>
  <si>
    <t>ROCE</t>
  </si>
  <si>
    <t>Non-Finance Metrics</t>
  </si>
  <si>
    <t>Staff</t>
  </si>
  <si>
    <t>Directors</t>
  </si>
  <si>
    <t>Administration</t>
  </si>
  <si>
    <t>Operations</t>
  </si>
  <si>
    <t>H123</t>
  </si>
  <si>
    <t>38% of UK estate fitted with Solar Panels to subsidise energy usage</t>
  </si>
  <si>
    <t>The UK &amp; Canada's largest ten-pin bowling operator</t>
  </si>
  <si>
    <t>o</t>
  </si>
  <si>
    <t>Hollywood Bowl acquire Lincoln Bowl in the UK</t>
  </si>
  <si>
    <t>H223</t>
  </si>
  <si>
    <t>H124</t>
  </si>
  <si>
    <t>FY39</t>
  </si>
  <si>
    <t>Market Cap</t>
  </si>
  <si>
    <t>H224</t>
  </si>
  <si>
    <t>Y/Y</t>
  </si>
  <si>
    <t>Cashflow</t>
  </si>
  <si>
    <t>CFFO</t>
  </si>
  <si>
    <t>FCF</t>
  </si>
  <si>
    <t>CapEx</t>
  </si>
  <si>
    <t>FCF per Share</t>
  </si>
  <si>
    <t>Price - FCF</t>
  </si>
  <si>
    <t>P/FCF</t>
  </si>
  <si>
    <t>Stockopedia</t>
  </si>
  <si>
    <t>Puttstars written down as impairment due to poor performance FY24</t>
  </si>
  <si>
    <t>BOWL announce buyback programme up to 17mil shares</t>
  </si>
  <si>
    <t>H125</t>
  </si>
  <si>
    <t>FCF TTM</t>
  </si>
  <si>
    <t>H225</t>
  </si>
  <si>
    <t>Splitsville (CA)</t>
  </si>
  <si>
    <t>H126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</si>
</sst>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,##0.0_);[Red]\(#,##0.0\)"/>
    <numFmt numFmtId="167" formatCode="#\x"/>
    <numFmt numFmtId="168" formatCode="0.0\x"/>
    <numFmt numFmtId="169" formatCode="0.000\x"/>
    <numFmt numFmtId="170" formatCode="0\x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sz val="8"/>
      <color theme="1" tint="0.499984740745262"/>
      <name val="Arial"/>
      <family val="2"/>
    </font>
    <font>
      <b/>
      <u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i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8"/>
      <color rgb="FF80808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9"/>
      <color rgb="FF000000"/>
      <name val="Tahoma"/>
      <family val="2"/>
    </font>
    <font>
      <i/>
      <sz val="8"/>
      <color theme="1" tint="0.499984740745262"/>
      <name val="Arial"/>
      <family val="2"/>
    </font>
    <font>
      <sz val="10"/>
      <color theme="9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/>
    <xf numFmtId="0" fontId="4" fillId="3" borderId="6" xfId="0" applyFont="1" applyFill="1" applyBorder="1"/>
    <xf numFmtId="0" fontId="2" fillId="4" borderId="0" xfId="0" applyFont="1" applyFill="1"/>
    <xf numFmtId="0" fontId="2" fillId="4" borderId="5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64" fontId="4" fillId="0" borderId="0" xfId="0" applyNumberFormat="1" applyFont="1"/>
    <xf numFmtId="0" fontId="6" fillId="0" borderId="0" xfId="0" applyFont="1" applyAlignment="1">
      <alignment horizontal="right"/>
    </xf>
    <xf numFmtId="164" fontId="2" fillId="0" borderId="0" xfId="0" applyNumberFormat="1" applyFont="1"/>
    <xf numFmtId="164" fontId="2" fillId="0" borderId="7" xfId="0" applyNumberFormat="1" applyFont="1" applyBorder="1"/>
    <xf numFmtId="0" fontId="2" fillId="4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right"/>
    </xf>
    <xf numFmtId="9" fontId="2" fillId="0" borderId="0" xfId="1" applyFont="1"/>
    <xf numFmtId="0" fontId="4" fillId="5" borderId="0" xfId="0" applyFont="1" applyFill="1" applyAlignment="1">
      <alignment horizontal="right"/>
    </xf>
    <xf numFmtId="0" fontId="2" fillId="5" borderId="0" xfId="0" applyFont="1" applyFill="1"/>
    <xf numFmtId="2" fontId="2" fillId="0" borderId="0" xfId="0" applyNumberFormat="1" applyFont="1"/>
    <xf numFmtId="165" fontId="2" fillId="0" borderId="0" xfId="0" applyNumberFormat="1" applyFont="1"/>
    <xf numFmtId="0" fontId="8" fillId="0" borderId="0" xfId="2" applyFont="1" applyAlignment="1">
      <alignment horizontal="right"/>
    </xf>
    <xf numFmtId="0" fontId="12" fillId="0" borderId="0" xfId="0" applyFont="1"/>
    <xf numFmtId="164" fontId="4" fillId="5" borderId="0" xfId="0" applyNumberFormat="1" applyFont="1" applyFill="1"/>
    <xf numFmtId="164" fontId="2" fillId="5" borderId="0" xfId="0" applyNumberFormat="1" applyFont="1" applyFill="1"/>
    <xf numFmtId="165" fontId="2" fillId="5" borderId="0" xfId="0" applyNumberFormat="1" applyFont="1" applyFill="1"/>
    <xf numFmtId="2" fontId="2" fillId="5" borderId="0" xfId="0" applyNumberFormat="1" applyFont="1" applyFill="1"/>
    <xf numFmtId="9" fontId="2" fillId="5" borderId="0" xfId="1" applyFont="1" applyFill="1"/>
    <xf numFmtId="14" fontId="11" fillId="5" borderId="0" xfId="0" applyNumberFormat="1" applyFont="1" applyFill="1" applyAlignment="1">
      <alignment horizontal="right"/>
    </xf>
    <xf numFmtId="165" fontId="4" fillId="0" borderId="0" xfId="0" applyNumberFormat="1" applyFont="1"/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4" fillId="6" borderId="0" xfId="0" applyNumberFormat="1" applyFont="1" applyFill="1"/>
    <xf numFmtId="9" fontId="2" fillId="6" borderId="0" xfId="1" applyFont="1" applyFill="1"/>
    <xf numFmtId="2" fontId="2" fillId="6" borderId="0" xfId="0" applyNumberFormat="1" applyFont="1" applyFill="1"/>
    <xf numFmtId="164" fontId="2" fillId="6" borderId="0" xfId="0" applyNumberFormat="1" applyFont="1" applyFill="1"/>
    <xf numFmtId="0" fontId="1" fillId="3" borderId="1" xfId="0" applyFont="1" applyFill="1" applyBorder="1"/>
    <xf numFmtId="0" fontId="1" fillId="3" borderId="4" xfId="0" applyFont="1" applyFill="1" applyBorder="1"/>
    <xf numFmtId="0" fontId="13" fillId="3" borderId="4" xfId="0" applyFont="1" applyFill="1" applyBorder="1"/>
    <xf numFmtId="0" fontId="1" fillId="3" borderId="6" xfId="0" applyFont="1" applyFill="1" applyBorder="1"/>
    <xf numFmtId="167" fontId="2" fillId="0" borderId="0" xfId="0" applyNumberFormat="1" applyFont="1"/>
    <xf numFmtId="0" fontId="2" fillId="4" borderId="6" xfId="0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" fontId="2" fillId="0" borderId="0" xfId="1" applyNumberFormat="1" applyFont="1"/>
    <xf numFmtId="9" fontId="4" fillId="5" borderId="0" xfId="1" applyFont="1" applyFill="1"/>
    <xf numFmtId="9" fontId="4" fillId="0" borderId="0" xfId="1" applyFont="1"/>
    <xf numFmtId="1" fontId="2" fillId="0" borderId="0" xfId="0" applyNumberFormat="1" applyFont="1"/>
    <xf numFmtId="1" fontId="2" fillId="5" borderId="0" xfId="0" applyNumberFormat="1" applyFont="1" applyFill="1"/>
    <xf numFmtId="0" fontId="2" fillId="0" borderId="0" xfId="0" applyFont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4" fillId="5" borderId="0" xfId="0" applyFont="1" applyFill="1"/>
    <xf numFmtId="9" fontId="1" fillId="4" borderId="3" xfId="0" applyNumberFormat="1" applyFont="1" applyFill="1" applyBorder="1" applyAlignment="1">
      <alignment horizontal="right"/>
    </xf>
    <xf numFmtId="9" fontId="1" fillId="4" borderId="5" xfId="0" applyNumberFormat="1" applyFont="1" applyFill="1" applyBorder="1" applyAlignment="1">
      <alignment horizontal="right"/>
    </xf>
    <xf numFmtId="166" fontId="1" fillId="4" borderId="5" xfId="0" applyNumberFormat="1" applyFont="1" applyFill="1" applyBorder="1" applyAlignment="1">
      <alignment horizontal="right"/>
    </xf>
    <xf numFmtId="2" fontId="13" fillId="4" borderId="5" xfId="0" applyNumberFormat="1" applyFont="1" applyFill="1" applyBorder="1" applyAlignment="1">
      <alignment horizontal="right"/>
    </xf>
    <xf numFmtId="2" fontId="1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1" fontId="4" fillId="0" borderId="0" xfId="0" applyNumberFormat="1" applyFont="1"/>
    <xf numFmtId="1" fontId="4" fillId="5" borderId="0" xfId="0" applyNumberFormat="1" applyFont="1" applyFill="1"/>
    <xf numFmtId="1" fontId="4" fillId="0" borderId="0" xfId="1" applyNumberFormat="1" applyFont="1"/>
    <xf numFmtId="0" fontId="15" fillId="0" borderId="0" xfId="0" applyFont="1"/>
    <xf numFmtId="0" fontId="15" fillId="0" borderId="0" xfId="0" applyFont="1" applyAlignment="1">
      <alignment horizontal="left" indent="1"/>
    </xf>
    <xf numFmtId="1" fontId="15" fillId="0" borderId="0" xfId="0" applyNumberFormat="1" applyFont="1"/>
    <xf numFmtId="1" fontId="15" fillId="5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left" indent="1"/>
    </xf>
    <xf numFmtId="0" fontId="6" fillId="5" borderId="0" xfId="0" applyFont="1" applyFill="1"/>
    <xf numFmtId="0" fontId="6" fillId="6" borderId="0" xfId="0" applyFont="1" applyFill="1"/>
    <xf numFmtId="2" fontId="6" fillId="0" borderId="0" xfId="0" applyNumberFormat="1" applyFont="1"/>
    <xf numFmtId="165" fontId="15" fillId="0" borderId="0" xfId="0" applyNumberFormat="1" applyFont="1"/>
    <xf numFmtId="0" fontId="4" fillId="4" borderId="4" xfId="0" applyFont="1" applyFill="1" applyBorder="1"/>
    <xf numFmtId="0" fontId="4" fillId="4" borderId="0" xfId="0" applyFont="1" applyFill="1"/>
    <xf numFmtId="0" fontId="4" fillId="4" borderId="6" xfId="0" applyFont="1" applyFill="1" applyBorder="1"/>
    <xf numFmtId="0" fontId="4" fillId="4" borderId="7" xfId="0" applyFont="1" applyFill="1" applyBorder="1"/>
    <xf numFmtId="0" fontId="2" fillId="4" borderId="4" xfId="0" applyFont="1" applyFill="1" applyBorder="1" applyAlignment="1">
      <alignment horizontal="left" indent="1"/>
    </xf>
    <xf numFmtId="0" fontId="16" fillId="4" borderId="4" xfId="0" applyFont="1" applyFill="1" applyBorder="1" applyAlignment="1">
      <alignment horizontal="left" indent="1"/>
    </xf>
    <xf numFmtId="2" fontId="4" fillId="0" borderId="0" xfId="0" applyNumberFormat="1" applyFont="1"/>
    <xf numFmtId="0" fontId="17" fillId="0" borderId="0" xfId="0" applyFont="1"/>
    <xf numFmtId="0" fontId="2" fillId="4" borderId="0" xfId="0" applyFont="1" applyFill="1" applyAlignment="1">
      <alignment horizontal="center"/>
    </xf>
    <xf numFmtId="17" fontId="4" fillId="3" borderId="4" xfId="0" applyNumberFormat="1" applyFont="1" applyFill="1" applyBorder="1" applyAlignment="1">
      <alignment horizontal="center"/>
    </xf>
    <xf numFmtId="0" fontId="8" fillId="4" borderId="0" xfId="2" applyFont="1" applyFill="1" applyBorder="1"/>
    <xf numFmtId="168" fontId="2" fillId="0" borderId="0" xfId="0" applyNumberFormat="1" applyFont="1"/>
    <xf numFmtId="168" fontId="2" fillId="5" borderId="0" xfId="0" applyNumberFormat="1" applyFont="1" applyFill="1"/>
    <xf numFmtId="169" fontId="2" fillId="0" borderId="0" xfId="0" applyNumberFormat="1" applyFont="1"/>
    <xf numFmtId="169" fontId="2" fillId="5" borderId="0" xfId="0" applyNumberFormat="1" applyFont="1" applyFill="1"/>
    <xf numFmtId="16" fontId="2" fillId="4" borderId="5" xfId="0" applyNumberFormat="1" applyFont="1" applyFill="1" applyBorder="1" applyAlignment="1">
      <alignment horizontal="center"/>
    </xf>
    <xf numFmtId="0" fontId="18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165" fontId="18" fillId="8" borderId="0" xfId="0" applyNumberFormat="1" applyFont="1" applyFill="1"/>
    <xf numFmtId="165" fontId="20" fillId="8" borderId="0" xfId="0" applyNumberFormat="1" applyFont="1" applyFill="1"/>
    <xf numFmtId="164" fontId="18" fillId="8" borderId="0" xfId="0" applyNumberFormat="1" applyFont="1" applyFill="1"/>
    <xf numFmtId="164" fontId="20" fillId="8" borderId="0" xfId="0" applyNumberFormat="1" applyFont="1" applyFill="1"/>
    <xf numFmtId="2" fontId="20" fillId="8" borderId="0" xfId="0" applyNumberFormat="1" applyFont="1" applyFill="1"/>
    <xf numFmtId="0" fontId="20" fillId="8" borderId="0" xfId="0" applyFont="1" applyFill="1"/>
    <xf numFmtId="9" fontId="20" fillId="8" borderId="0" xfId="0" applyNumberFormat="1" applyFont="1" applyFill="1"/>
    <xf numFmtId="9" fontId="18" fillId="8" borderId="0" xfId="0" applyNumberFormat="1" applyFont="1" applyFill="1"/>
    <xf numFmtId="1" fontId="20" fillId="8" borderId="0" xfId="0" applyNumberFormat="1" applyFont="1" applyFill="1"/>
    <xf numFmtId="1" fontId="21" fillId="8" borderId="0" xfId="0" applyNumberFormat="1" applyFont="1" applyFill="1"/>
    <xf numFmtId="1" fontId="18" fillId="8" borderId="0" xfId="0" applyNumberFormat="1" applyFont="1" applyFill="1"/>
    <xf numFmtId="0" fontId="22" fillId="8" borderId="0" xfId="0" applyFont="1" applyFill="1"/>
    <xf numFmtId="0" fontId="18" fillId="8" borderId="0" xfId="0" applyFont="1" applyFill="1"/>
    <xf numFmtId="169" fontId="20" fillId="8" borderId="0" xfId="0" applyNumberFormat="1" applyFont="1" applyFill="1"/>
    <xf numFmtId="0" fontId="2" fillId="9" borderId="0" xfId="0" applyFont="1" applyFill="1"/>
    <xf numFmtId="0" fontId="4" fillId="9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165" fontId="4" fillId="9" borderId="0" xfId="0" applyNumberFormat="1" applyFont="1" applyFill="1"/>
    <xf numFmtId="165" fontId="2" fillId="9" borderId="0" xfId="0" applyNumberFormat="1" applyFont="1" applyFill="1"/>
    <xf numFmtId="164" fontId="4" fillId="9" borderId="0" xfId="0" applyNumberFormat="1" applyFont="1" applyFill="1"/>
    <xf numFmtId="164" fontId="2" fillId="9" borderId="0" xfId="0" applyNumberFormat="1" applyFont="1" applyFill="1"/>
    <xf numFmtId="2" fontId="2" fillId="9" borderId="0" xfId="0" applyNumberFormat="1" applyFont="1" applyFill="1"/>
    <xf numFmtId="9" fontId="2" fillId="9" borderId="0" xfId="1" applyFont="1" applyFill="1"/>
    <xf numFmtId="0" fontId="2" fillId="9" borderId="0" xfId="0" applyFont="1" applyFill="1" applyAlignment="1">
      <alignment horizontal="right"/>
    </xf>
    <xf numFmtId="1" fontId="2" fillId="9" borderId="0" xfId="0" applyNumberFormat="1" applyFont="1" applyFill="1"/>
    <xf numFmtId="1" fontId="15" fillId="9" borderId="0" xfId="0" applyNumberFormat="1" applyFont="1" applyFill="1"/>
    <xf numFmtId="1" fontId="4" fillId="9" borderId="0" xfId="0" applyNumberFormat="1" applyFont="1" applyFill="1"/>
    <xf numFmtId="0" fontId="6" fillId="9" borderId="0" xfId="0" applyFont="1" applyFill="1"/>
    <xf numFmtId="0" fontId="4" fillId="9" borderId="0" xfId="0" applyFont="1" applyFill="1"/>
    <xf numFmtId="169" fontId="2" fillId="9" borderId="0" xfId="0" applyNumberFormat="1" applyFont="1" applyFill="1"/>
    <xf numFmtId="0" fontId="15" fillId="6" borderId="0" xfId="0" applyFont="1" applyFill="1" applyAlignment="1">
      <alignment horizontal="right"/>
    </xf>
    <xf numFmtId="14" fontId="24" fillId="6" borderId="0" xfId="0" applyNumberFormat="1" applyFont="1" applyFill="1" applyAlignment="1">
      <alignment horizontal="right"/>
    </xf>
    <xf numFmtId="164" fontId="15" fillId="6" borderId="0" xfId="0" applyNumberFormat="1" applyFont="1" applyFill="1"/>
    <xf numFmtId="164" fontId="6" fillId="6" borderId="0" xfId="0" applyNumberFormat="1" applyFont="1" applyFill="1"/>
    <xf numFmtId="165" fontId="6" fillId="6" borderId="0" xfId="0" applyNumberFormat="1" applyFont="1" applyFill="1"/>
    <xf numFmtId="9" fontId="6" fillId="6" borderId="0" xfId="1" applyFont="1" applyFill="1"/>
    <xf numFmtId="0" fontId="6" fillId="6" borderId="0" xfId="0" applyFont="1" applyFill="1" applyAlignment="1">
      <alignment horizontal="right"/>
    </xf>
    <xf numFmtId="1" fontId="6" fillId="6" borderId="0" xfId="1" applyNumberFormat="1" applyFont="1" applyFill="1"/>
    <xf numFmtId="165" fontId="15" fillId="6" borderId="0" xfId="0" applyNumberFormat="1" applyFont="1" applyFill="1"/>
    <xf numFmtId="1" fontId="15" fillId="6" borderId="0" xfId="1" applyNumberFormat="1" applyFont="1" applyFill="1"/>
    <xf numFmtId="168" fontId="6" fillId="6" borderId="0" xfId="0" applyNumberFormat="1" applyFont="1" applyFill="1"/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4" fillId="5" borderId="0" xfId="0" applyNumberFormat="1" applyFont="1" applyFill="1"/>
    <xf numFmtId="3" fontId="4" fillId="6" borderId="0" xfId="0" applyNumberFormat="1" applyFont="1" applyFill="1"/>
    <xf numFmtId="3" fontId="6" fillId="0" borderId="0" xfId="0" applyNumberFormat="1" applyFont="1"/>
    <xf numFmtId="3" fontId="2" fillId="0" borderId="0" xfId="0" applyNumberFormat="1" applyFont="1" applyAlignment="1">
      <alignment horizontal="left" indent="1"/>
    </xf>
    <xf numFmtId="3" fontId="6" fillId="5" borderId="0" xfId="0" applyNumberFormat="1" applyFont="1" applyFill="1"/>
    <xf numFmtId="3" fontId="6" fillId="6" borderId="0" xfId="0" applyNumberFormat="1" applyFont="1" applyFill="1"/>
    <xf numFmtId="3" fontId="2" fillId="0" borderId="0" xfId="0" applyNumberFormat="1" applyFont="1"/>
    <xf numFmtId="3" fontId="2" fillId="5" borderId="0" xfId="0" applyNumberFormat="1" applyFont="1" applyFill="1"/>
    <xf numFmtId="0" fontId="25" fillId="0" borderId="0" xfId="0" applyFont="1"/>
    <xf numFmtId="0" fontId="2" fillId="10" borderId="0" xfId="0" applyFont="1" applyFill="1"/>
    <xf numFmtId="0" fontId="8" fillId="4" borderId="0" xfId="2" applyFont="1" applyFill="1"/>
    <xf numFmtId="3" fontId="0" fillId="4" borderId="8" xfId="0" applyNumberFormat="1" applyFill="1" applyBorder="1" applyAlignment="1">
      <alignment horizontal="right"/>
    </xf>
    <xf numFmtId="9" fontId="1" fillId="4" borderId="5" xfId="1" applyFont="1" applyFill="1" applyBorder="1" applyAlignment="1">
      <alignment horizontal="right"/>
    </xf>
    <xf numFmtId="16" fontId="2" fillId="0" borderId="0" xfId="0" applyNumberFormat="1" applyFont="1"/>
    <xf numFmtId="9" fontId="2" fillId="0" borderId="0" xfId="0" applyNumberFormat="1" applyFont="1"/>
    <xf numFmtId="9" fontId="2" fillId="5" borderId="0" xfId="0" applyNumberFormat="1" applyFont="1" applyFill="1"/>
    <xf numFmtId="9" fontId="6" fillId="6" borderId="0" xfId="0" applyNumberFormat="1" applyFont="1" applyFill="1"/>
    <xf numFmtId="170" fontId="2" fillId="0" borderId="0" xfId="0" applyNumberFormat="1" applyFont="1"/>
    <xf numFmtId="170" fontId="2" fillId="5" borderId="0" xfId="0" applyNumberFormat="1" applyFont="1" applyFill="1"/>
    <xf numFmtId="170" fontId="6" fillId="6" borderId="0" xfId="0" applyNumberFormat="1" applyFont="1" applyFill="1"/>
    <xf numFmtId="168" fontId="4" fillId="0" borderId="0" xfId="0" applyNumberFormat="1" applyFont="1"/>
    <xf numFmtId="0" fontId="15" fillId="6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4" borderId="7" xfId="2" applyFont="1" applyFill="1" applyBorder="1" applyAlignment="1">
      <alignment horizontal="center"/>
    </xf>
    <xf numFmtId="0" fontId="8" fillId="4" borderId="8" xfId="2" applyFont="1" applyFill="1" applyBorder="1" applyAlignment="1">
      <alignment horizontal="center"/>
    </xf>
    <xf numFmtId="168" fontId="2" fillId="4" borderId="0" xfId="0" applyNumberFormat="1" applyFont="1" applyFill="1" applyAlignment="1">
      <alignment horizontal="center"/>
    </xf>
    <xf numFmtId="168" fontId="2" fillId="4" borderId="5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8" fillId="4" borderId="4" xfId="2" applyFont="1" applyFill="1" applyBorder="1" applyAlignment="1">
      <alignment horizontal="center"/>
    </xf>
    <xf numFmtId="0" fontId="8" fillId="4" borderId="0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66675</xdr:rowOff>
    </xdr:from>
    <xdr:to>
      <xdr:col>6</xdr:col>
      <xdr:colOff>142875</xdr:colOff>
      <xdr:row>4</xdr:row>
      <xdr:rowOff>85725</xdr:rowOff>
    </xdr:to>
    <xdr:pic>
      <xdr:nvPicPr>
        <xdr:cNvPr id="2" name="Picture 1" descr="https://logo.clearbit.com/hollywoodbowlgroup.com">
          <a:extLst>
            <a:ext uri="{FF2B5EF4-FFF2-40B4-BE49-F238E27FC236}">
              <a16:creationId xmlns:a16="http://schemas.microsoft.com/office/drawing/2014/main" id="{8074D5C9-EEB6-49A9-816A-14796CBB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666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6350</xdr:colOff>
      <xdr:row>0</xdr:row>
      <xdr:rowOff>19050</xdr:rowOff>
    </xdr:from>
    <xdr:to>
      <xdr:col>31</xdr:col>
      <xdr:colOff>6350</xdr:colOff>
      <xdr:row>111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9F68952-5843-4A5F-B718-3C224FFECA4F}"/>
            </a:ext>
          </a:extLst>
        </xdr:cNvPr>
        <xdr:cNvCxnSpPr/>
      </xdr:nvCxnSpPr>
      <xdr:spPr>
        <a:xfrm>
          <a:off x="16998950" y="19050"/>
          <a:ext cx="0" cy="1769745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0</xdr:row>
      <xdr:rowOff>0</xdr:rowOff>
    </xdr:from>
    <xdr:to>
      <xdr:col>20</xdr:col>
      <xdr:colOff>0</xdr:colOff>
      <xdr:row>112</xdr:row>
      <xdr:rowOff>66675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56DD5A9-6A61-4A9C-B323-E4AC71E1110C}"/>
            </a:ext>
          </a:extLst>
        </xdr:cNvPr>
        <xdr:cNvCxnSpPr/>
      </xdr:nvCxnSpPr>
      <xdr:spPr>
        <a:xfrm>
          <a:off x="12725400" y="0"/>
          <a:ext cx="0" cy="1820227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3;T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Model"/>
    </sheetNames>
    <sheetDataSet>
      <sheetData sheetId="0">
        <row r="25">
          <cell r="C25">
            <v>51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tergameonline.com/coin-op/news/hollywood-bowl-strikes-deal-for-new-site" TargetMode="External"/><Relationship Id="rId2" Type="http://schemas.openxmlformats.org/officeDocument/2006/relationships/hyperlink" Target="&#163;TEG.xlsx" TargetMode="External"/><Relationship Id="rId1" Type="http://schemas.openxmlformats.org/officeDocument/2006/relationships/hyperlink" Target="https://www.hollywoodbowlgroup.com/investors/results-reports-and-presentation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idermedia.com/news/midlands/hollywood-bowl-acquires-lincoln-sit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llywoodbowlgroup.com/application/files/5517/0288/6885/FULL_RNS_-_17-12-23_for_LSE_load.pdf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hollywoodbowlgroup.com/application/files/6016/4302/6048/annual-report-2019.pdf" TargetMode="External"/><Relationship Id="rId7" Type="http://schemas.openxmlformats.org/officeDocument/2006/relationships/hyperlink" Target="https://www.hollywoodbowlgroup.com/application/files/7816/8191/1040/Hollywood_Bowl_half_year_trading_update_FINAL.pdf" TargetMode="External"/><Relationship Id="rId12" Type="http://schemas.openxmlformats.org/officeDocument/2006/relationships/hyperlink" Target="https://www.hollywoodbowlgroup.com/application/files/5717/7986/4494/Combined_with_FIN_statements_FINAL.pdf" TargetMode="External"/><Relationship Id="rId2" Type="http://schemas.openxmlformats.org/officeDocument/2006/relationships/hyperlink" Target="https://www.hollywoodbowlgroup.com/application/files/5116/4267/7084/Hollywood_Bowl_Group_plc_Annual_Report_and_Accounts_2021.pdf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hollywoodbowlgroup.com/application/files/8016/5347/0672/Combined_RNS_V2_with_fin_statements_H1_FY2022_FINAL.pdf" TargetMode="External"/><Relationship Id="rId6" Type="http://schemas.openxmlformats.org/officeDocument/2006/relationships/hyperlink" Target="http://hollywoodbowlgroup.com/application/files/7616/7118/4754/Hollywood_Bowl_Group_plc_Final_Results_Year_Ending_30_September_2022_Statement.pdf" TargetMode="External"/><Relationship Id="rId11" Type="http://schemas.openxmlformats.org/officeDocument/2006/relationships/hyperlink" Target="https://www.hollywoodbowlgroup.com/application/files/5317/6042/9989/Trading_Draft_VFINAL__13.10.25.pdf" TargetMode="External"/><Relationship Id="rId5" Type="http://schemas.openxmlformats.org/officeDocument/2006/relationships/hyperlink" Target="https://www.hollywoodbowlgroup.com/application/files/5416/4302/8194/Full_Year_Announcement_RNS_FINAL.pdf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://hollywoodbowlgroup.com/application/files/4317/4851/0577/Hollywood_Bowl_-_Final_Full_RNS_m.pdf" TargetMode="External"/><Relationship Id="rId4" Type="http://schemas.openxmlformats.org/officeDocument/2006/relationships/hyperlink" Target="https://www.hollywoodbowlgroup.com/application/files/8616/4303/1596/HWB_-_6m_results_March_20_RNS.pdf" TargetMode="External"/><Relationship Id="rId9" Type="http://schemas.openxmlformats.org/officeDocument/2006/relationships/hyperlink" Target="https://www.hollywoodbowlgroup.com/application/files/7117/3443/2643/Hollywood_Bowl_Group_plc_RNS_FY2024_v3.pdf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hollywoodbowlgroup.com/application/files/7616/7118/4754/Hollywood_Bowl_Group_plc_Final_Results_Year_Ending_30_September_2022_Statem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BE4A-2205-4DA7-9D70-0F9D2DEA55C5}">
  <dimension ref="B2:U39"/>
  <sheetViews>
    <sheetView workbookViewId="0">
      <selection activeCell="D9" sqref="D9"/>
    </sheetView>
  </sheetViews>
  <sheetFormatPr defaultColWidth="9.140625" defaultRowHeight="12.75" x14ac:dyDescent="0.2"/>
  <cols>
    <col min="1" max="16384" width="9.140625" style="1"/>
  </cols>
  <sheetData>
    <row r="2" spans="2:21" ht="15" x14ac:dyDescent="0.25">
      <c r="B2" s="2" t="s">
        <v>0</v>
      </c>
      <c r="F2"/>
      <c r="H2" s="151" t="s">
        <v>151</v>
      </c>
      <c r="I2" s="151"/>
      <c r="J2" s="151"/>
      <c r="K2" s="151"/>
      <c r="L2" s="151"/>
    </row>
    <row r="3" spans="2:21" x14ac:dyDescent="0.2">
      <c r="B3" s="3" t="s">
        <v>1</v>
      </c>
    </row>
    <row r="5" spans="2:21" x14ac:dyDescent="0.2">
      <c r="B5" s="164" t="s">
        <v>2</v>
      </c>
      <c r="C5" s="165"/>
      <c r="D5" s="166"/>
      <c r="H5" s="164" t="s">
        <v>101</v>
      </c>
      <c r="I5" s="165"/>
      <c r="J5" s="165"/>
      <c r="K5" s="165"/>
      <c r="L5" s="166"/>
      <c r="O5" s="164" t="s">
        <v>68</v>
      </c>
      <c r="P5" s="165"/>
      <c r="Q5" s="165"/>
      <c r="R5" s="165"/>
      <c r="S5" s="165"/>
      <c r="T5" s="165"/>
      <c r="U5" s="166"/>
    </row>
    <row r="6" spans="2:21" x14ac:dyDescent="0.2">
      <c r="B6" s="4" t="s">
        <v>3</v>
      </c>
      <c r="C6" s="26">
        <v>3.04</v>
      </c>
      <c r="D6" s="39"/>
      <c r="H6" s="178" t="s">
        <v>103</v>
      </c>
      <c r="I6" s="179"/>
      <c r="J6" s="179"/>
      <c r="K6" s="179"/>
      <c r="L6" s="58" t="s">
        <v>102</v>
      </c>
      <c r="O6" s="17"/>
      <c r="P6" s="6"/>
      <c r="Q6" s="6"/>
      <c r="R6" s="6"/>
      <c r="S6" s="6"/>
      <c r="T6" s="6"/>
      <c r="U6" s="7"/>
    </row>
    <row r="7" spans="2:21" x14ac:dyDescent="0.2">
      <c r="B7" s="4" t="s">
        <v>4</v>
      </c>
      <c r="C7" s="14">
        <f>+'Financial Model'!T14</f>
        <v>167.076651</v>
      </c>
      <c r="D7" s="39" t="s">
        <v>73</v>
      </c>
      <c r="H7" s="180" t="s">
        <v>100</v>
      </c>
      <c r="I7" s="181"/>
      <c r="J7" s="181"/>
      <c r="K7" s="181"/>
      <c r="L7" s="59">
        <f>[1]Main!$C$25</f>
        <v>51</v>
      </c>
      <c r="O7" s="90">
        <v>45689</v>
      </c>
      <c r="P7" s="6" t="s">
        <v>169</v>
      </c>
      <c r="Q7" s="6"/>
      <c r="R7" s="6"/>
      <c r="S7" s="6"/>
      <c r="T7" s="6"/>
      <c r="U7" s="7"/>
    </row>
    <row r="8" spans="2:21" x14ac:dyDescent="0.2">
      <c r="B8" s="4" t="s">
        <v>5</v>
      </c>
      <c r="C8" s="14">
        <f>C6*C7</f>
        <v>507.91301903999999</v>
      </c>
      <c r="D8" s="39"/>
      <c r="H8" s="182" t="s">
        <v>104</v>
      </c>
      <c r="I8" s="171"/>
      <c r="J8" s="171"/>
      <c r="K8" s="171"/>
      <c r="L8" s="59">
        <v>11</v>
      </c>
      <c r="O8" s="17"/>
      <c r="P8" s="6"/>
      <c r="Q8" s="6"/>
      <c r="R8" s="6"/>
      <c r="S8" s="6"/>
      <c r="T8" s="6"/>
      <c r="U8" s="7"/>
    </row>
    <row r="9" spans="2:21" x14ac:dyDescent="0.2">
      <c r="B9" s="4" t="s">
        <v>6</v>
      </c>
      <c r="C9" s="14">
        <f>+'Financial Model'!T70</f>
        <v>25.994</v>
      </c>
      <c r="D9" s="39" t="s">
        <v>73</v>
      </c>
      <c r="H9" s="182" t="s">
        <v>105</v>
      </c>
      <c r="I9" s="171"/>
      <c r="J9" s="171"/>
      <c r="K9" s="171"/>
      <c r="L9" s="59">
        <v>6</v>
      </c>
      <c r="O9" s="90">
        <v>45627</v>
      </c>
      <c r="P9" s="6" t="s">
        <v>168</v>
      </c>
      <c r="R9" s="6"/>
      <c r="S9" s="6"/>
      <c r="T9" s="6"/>
      <c r="U9" s="7"/>
    </row>
    <row r="10" spans="2:21" x14ac:dyDescent="0.2">
      <c r="B10" s="4" t="s">
        <v>7</v>
      </c>
      <c r="C10" s="14">
        <f>+'Financial Model'!T71</f>
        <v>0</v>
      </c>
      <c r="D10" s="39" t="s">
        <v>73</v>
      </c>
      <c r="H10" s="182" t="s">
        <v>106</v>
      </c>
      <c r="I10" s="171"/>
      <c r="J10" s="171"/>
      <c r="K10" s="171"/>
      <c r="L10" s="59">
        <v>7</v>
      </c>
      <c r="O10" s="17"/>
      <c r="P10" s="6"/>
      <c r="Q10" s="6"/>
      <c r="R10" s="6"/>
      <c r="S10" s="6"/>
      <c r="T10" s="6"/>
      <c r="U10" s="7"/>
    </row>
    <row r="11" spans="2:21" x14ac:dyDescent="0.2">
      <c r="B11" s="4" t="s">
        <v>8</v>
      </c>
      <c r="C11" s="14">
        <f>C9-C10</f>
        <v>25.994</v>
      </c>
      <c r="D11" s="39" t="s">
        <v>73</v>
      </c>
      <c r="H11" s="182" t="s">
        <v>107</v>
      </c>
      <c r="I11" s="171"/>
      <c r="J11" s="171"/>
      <c r="K11" s="171"/>
      <c r="L11" s="59">
        <v>6</v>
      </c>
      <c r="O11" s="90">
        <v>45200</v>
      </c>
      <c r="P11" s="152" t="s">
        <v>153</v>
      </c>
      <c r="Q11" s="6"/>
      <c r="R11" s="6"/>
      <c r="S11" s="6"/>
      <c r="T11" s="6"/>
      <c r="U11" s="7"/>
    </row>
    <row r="12" spans="2:21" x14ac:dyDescent="0.2">
      <c r="B12" s="5" t="s">
        <v>9</v>
      </c>
      <c r="C12" s="15">
        <f>C8-C11</f>
        <v>481.91901903999997</v>
      </c>
      <c r="D12" s="40"/>
      <c r="H12" s="183" t="s">
        <v>108</v>
      </c>
      <c r="I12" s="176"/>
      <c r="J12" s="176"/>
      <c r="K12" s="176"/>
      <c r="L12" s="60">
        <v>174</v>
      </c>
      <c r="O12" s="17"/>
      <c r="P12" s="6"/>
      <c r="Q12" s="6"/>
      <c r="R12" s="6"/>
      <c r="S12" s="6"/>
      <c r="T12" s="6"/>
      <c r="U12" s="7"/>
    </row>
    <row r="13" spans="2:21" x14ac:dyDescent="0.2">
      <c r="H13" s="57"/>
      <c r="I13" s="57"/>
      <c r="J13" s="57"/>
      <c r="O13" s="90">
        <v>44866</v>
      </c>
      <c r="P13" s="91" t="s">
        <v>138</v>
      </c>
      <c r="Q13" s="6"/>
      <c r="R13" s="6"/>
      <c r="S13" s="6"/>
      <c r="T13" s="6"/>
      <c r="U13" s="7"/>
    </row>
    <row r="14" spans="2:21" x14ac:dyDescent="0.2">
      <c r="O14" s="18"/>
      <c r="P14" s="8"/>
      <c r="Q14" s="8"/>
      <c r="R14" s="8"/>
      <c r="S14" s="8"/>
      <c r="T14" s="8"/>
      <c r="U14" s="9"/>
    </row>
    <row r="15" spans="2:21" x14ac:dyDescent="0.2">
      <c r="B15" s="164" t="s">
        <v>10</v>
      </c>
      <c r="C15" s="165"/>
      <c r="D15" s="166"/>
    </row>
    <row r="16" spans="2:21" x14ac:dyDescent="0.2">
      <c r="B16" s="16" t="s">
        <v>11</v>
      </c>
      <c r="C16" s="171" t="s">
        <v>94</v>
      </c>
      <c r="D16" s="172"/>
    </row>
    <row r="17" spans="2:16" x14ac:dyDescent="0.2">
      <c r="B17" s="16" t="s">
        <v>95</v>
      </c>
      <c r="C17" s="171" t="s">
        <v>96</v>
      </c>
      <c r="D17" s="172"/>
      <c r="H17" s="164" t="s">
        <v>125</v>
      </c>
      <c r="I17" s="165"/>
      <c r="J17" s="165"/>
      <c r="K17" s="165"/>
      <c r="L17" s="166"/>
    </row>
    <row r="18" spans="2:16" x14ac:dyDescent="0.2">
      <c r="B18" s="16"/>
      <c r="C18" s="171"/>
      <c r="D18" s="172"/>
      <c r="H18" s="81" t="s">
        <v>119</v>
      </c>
      <c r="I18" s="82"/>
      <c r="J18" s="82"/>
      <c r="K18" s="6"/>
      <c r="L18" s="7"/>
    </row>
    <row r="19" spans="2:16" x14ac:dyDescent="0.2">
      <c r="B19" s="50"/>
      <c r="C19" s="176"/>
      <c r="D19" s="177"/>
      <c r="H19" s="85" t="s">
        <v>120</v>
      </c>
      <c r="I19" s="82"/>
      <c r="J19" s="82"/>
      <c r="K19" s="6"/>
      <c r="L19" s="7"/>
    </row>
    <row r="20" spans="2:16" x14ac:dyDescent="0.2">
      <c r="H20" s="85"/>
      <c r="I20" s="82"/>
      <c r="J20" s="82"/>
      <c r="K20" s="6"/>
      <c r="L20" s="7"/>
      <c r="P20" s="88" t="s">
        <v>130</v>
      </c>
    </row>
    <row r="21" spans="2:16" x14ac:dyDescent="0.2">
      <c r="H21" s="81" t="s">
        <v>121</v>
      </c>
      <c r="I21" s="82"/>
      <c r="J21" s="82"/>
      <c r="K21" s="6"/>
      <c r="L21" s="7"/>
      <c r="P21" s="88" t="s">
        <v>129</v>
      </c>
    </row>
    <row r="22" spans="2:16" x14ac:dyDescent="0.2">
      <c r="B22" s="164" t="s">
        <v>26</v>
      </c>
      <c r="C22" s="165"/>
      <c r="D22" s="166"/>
      <c r="H22" s="85" t="s">
        <v>122</v>
      </c>
      <c r="I22" s="82"/>
      <c r="J22" s="82"/>
      <c r="K22" s="6"/>
      <c r="L22" s="7"/>
    </row>
    <row r="23" spans="2:16" x14ac:dyDescent="0.2">
      <c r="B23" s="17" t="s">
        <v>27</v>
      </c>
      <c r="C23" s="171" t="s">
        <v>29</v>
      </c>
      <c r="D23" s="172"/>
      <c r="H23" s="86" t="s">
        <v>128</v>
      </c>
      <c r="I23" s="82"/>
      <c r="J23" s="82"/>
      <c r="K23" s="6"/>
      <c r="L23" s="7"/>
    </row>
    <row r="24" spans="2:16" x14ac:dyDescent="0.2">
      <c r="B24" s="17" t="s">
        <v>28</v>
      </c>
      <c r="C24" s="171">
        <v>2010</v>
      </c>
      <c r="D24" s="172"/>
      <c r="H24" s="81"/>
      <c r="I24" s="82"/>
      <c r="J24" s="82"/>
      <c r="K24" s="6"/>
      <c r="L24" s="7"/>
    </row>
    <row r="25" spans="2:16" x14ac:dyDescent="0.2">
      <c r="B25" s="17" t="s">
        <v>32</v>
      </c>
      <c r="C25" s="171">
        <f>+'Financial Model'!AD25</f>
        <v>85</v>
      </c>
      <c r="D25" s="172"/>
      <c r="H25" s="81"/>
      <c r="I25" s="82"/>
      <c r="J25" s="82"/>
      <c r="K25" s="6"/>
      <c r="L25" s="7"/>
      <c r="O25" s="150" t="s">
        <v>150</v>
      </c>
    </row>
    <row r="26" spans="2:16" x14ac:dyDescent="0.2">
      <c r="B26" s="17" t="s">
        <v>114</v>
      </c>
      <c r="C26" s="175">
        <f>+'Financial Model'!AE34</f>
        <v>2882</v>
      </c>
      <c r="D26" s="172"/>
      <c r="H26" s="83"/>
      <c r="I26" s="84"/>
      <c r="J26" s="84"/>
      <c r="K26" s="8"/>
      <c r="L26" s="9"/>
    </row>
    <row r="27" spans="2:16" x14ac:dyDescent="0.2">
      <c r="B27" s="17" t="s">
        <v>118</v>
      </c>
      <c r="C27" s="171">
        <v>2016</v>
      </c>
      <c r="D27" s="172"/>
    </row>
    <row r="28" spans="2:16" x14ac:dyDescent="0.2">
      <c r="B28" s="17" t="s">
        <v>139</v>
      </c>
      <c r="C28" s="89" t="s">
        <v>73</v>
      </c>
      <c r="D28" s="96">
        <v>46027</v>
      </c>
      <c r="E28" s="155"/>
    </row>
    <row r="29" spans="2:16" x14ac:dyDescent="0.2">
      <c r="B29" s="18" t="s">
        <v>30</v>
      </c>
      <c r="C29" s="167" t="s">
        <v>31</v>
      </c>
      <c r="D29" s="168"/>
      <c r="H29" s="164" t="s">
        <v>126</v>
      </c>
      <c r="I29" s="165"/>
      <c r="J29" s="165"/>
      <c r="K29" s="165"/>
      <c r="L29" s="166"/>
    </row>
    <row r="30" spans="2:16" x14ac:dyDescent="0.2">
      <c r="H30" s="81" t="s">
        <v>119</v>
      </c>
      <c r="I30" s="82"/>
      <c r="J30" s="82"/>
      <c r="K30" s="6"/>
      <c r="L30" s="7"/>
    </row>
    <row r="31" spans="2:16" x14ac:dyDescent="0.2">
      <c r="H31" s="85" t="s">
        <v>123</v>
      </c>
      <c r="I31" s="82"/>
      <c r="J31" s="82"/>
      <c r="K31" s="6"/>
      <c r="L31" s="7"/>
    </row>
    <row r="32" spans="2:16" x14ac:dyDescent="0.2">
      <c r="B32" s="164" t="s">
        <v>133</v>
      </c>
      <c r="C32" s="165"/>
      <c r="D32" s="166"/>
      <c r="H32" s="85" t="s">
        <v>124</v>
      </c>
      <c r="I32" s="82"/>
      <c r="J32" s="82"/>
      <c r="K32" s="6"/>
      <c r="L32" s="7"/>
    </row>
    <row r="33" spans="2:12" x14ac:dyDescent="0.2">
      <c r="B33" s="17" t="s">
        <v>134</v>
      </c>
      <c r="C33" s="169">
        <f>+C6/'Financial Model'!T68</f>
        <v>3.2371147718016862</v>
      </c>
      <c r="D33" s="170"/>
      <c r="H33" s="85"/>
      <c r="I33" s="82"/>
      <c r="J33" s="82"/>
      <c r="K33" s="6"/>
      <c r="L33" s="7"/>
    </row>
    <row r="34" spans="2:12" x14ac:dyDescent="0.2">
      <c r="B34" s="17" t="s">
        <v>135</v>
      </c>
      <c r="C34" s="169">
        <f>+C8/SUM('Financial Model'!S3:T3)</f>
        <v>1.9315807411238552</v>
      </c>
      <c r="D34" s="170"/>
      <c r="H34" s="81" t="s">
        <v>121</v>
      </c>
      <c r="I34" s="82"/>
      <c r="J34" s="82"/>
      <c r="K34" s="6"/>
      <c r="L34" s="7"/>
    </row>
    <row r="35" spans="2:12" x14ac:dyDescent="0.2">
      <c r="B35" s="17" t="s">
        <v>141</v>
      </c>
      <c r="C35" s="169">
        <f>+C12/SUM('Financial Model'!S3:T3)</f>
        <v>1.8327261973287898</v>
      </c>
      <c r="D35" s="170"/>
      <c r="H35" s="85" t="s">
        <v>127</v>
      </c>
      <c r="I35" s="82"/>
      <c r="J35" s="82"/>
      <c r="K35" s="6"/>
      <c r="L35" s="7"/>
    </row>
    <row r="36" spans="2:12" x14ac:dyDescent="0.2">
      <c r="B36" s="17" t="s">
        <v>136</v>
      </c>
      <c r="C36" s="169">
        <f>+C6/SUM('Financial Model'!S13:T13)</f>
        <v>15.284303369394559</v>
      </c>
      <c r="D36" s="170"/>
      <c r="H36" s="81"/>
      <c r="I36" s="82"/>
      <c r="J36" s="82"/>
      <c r="K36" s="6"/>
      <c r="L36" s="7"/>
    </row>
    <row r="37" spans="2:12" x14ac:dyDescent="0.2">
      <c r="B37" s="17" t="s">
        <v>142</v>
      </c>
      <c r="C37" s="169">
        <f>+C12/SUM('Financial Model'!S12:T12)</f>
        <v>14.376201272000465</v>
      </c>
      <c r="D37" s="170"/>
      <c r="H37" s="81"/>
      <c r="I37" s="82"/>
      <c r="J37" s="82"/>
      <c r="K37" s="6"/>
      <c r="L37" s="7"/>
    </row>
    <row r="38" spans="2:12" x14ac:dyDescent="0.2">
      <c r="B38" s="17" t="s">
        <v>166</v>
      </c>
      <c r="C38" s="169">
        <f>+C6/'Financial Model'!T89</f>
        <v>0.159798149705635</v>
      </c>
      <c r="D38" s="170"/>
      <c r="H38" s="83"/>
      <c r="I38" s="84"/>
      <c r="J38" s="84"/>
      <c r="K38" s="8"/>
      <c r="L38" s="9"/>
    </row>
    <row r="39" spans="2:12" x14ac:dyDescent="0.2">
      <c r="B39" s="17" t="s">
        <v>167</v>
      </c>
      <c r="C39" s="173">
        <v>61</v>
      </c>
      <c r="D39" s="174"/>
    </row>
  </sheetData>
  <mergeCells count="32">
    <mergeCell ref="O5:U5"/>
    <mergeCell ref="C19:D19"/>
    <mergeCell ref="B22:D22"/>
    <mergeCell ref="C23:D23"/>
    <mergeCell ref="C24:D24"/>
    <mergeCell ref="H5:L5"/>
    <mergeCell ref="H6:K6"/>
    <mergeCell ref="H7:K7"/>
    <mergeCell ref="H8:K8"/>
    <mergeCell ref="H9:K9"/>
    <mergeCell ref="H10:K10"/>
    <mergeCell ref="H11:K11"/>
    <mergeCell ref="H12:K12"/>
    <mergeCell ref="H17:L17"/>
    <mergeCell ref="B5:D5"/>
    <mergeCell ref="B15:D15"/>
    <mergeCell ref="C16:D16"/>
    <mergeCell ref="C17:D17"/>
    <mergeCell ref="C18:D18"/>
    <mergeCell ref="C38:D38"/>
    <mergeCell ref="C39:D39"/>
    <mergeCell ref="C26:D26"/>
    <mergeCell ref="C27:D27"/>
    <mergeCell ref="C25:D25"/>
    <mergeCell ref="B32:D32"/>
    <mergeCell ref="C33:D33"/>
    <mergeCell ref="H29:L29"/>
    <mergeCell ref="C29:D29"/>
    <mergeCell ref="C35:D35"/>
    <mergeCell ref="C37:D37"/>
    <mergeCell ref="C34:D34"/>
    <mergeCell ref="C36:D36"/>
  </mergeCells>
  <hyperlinks>
    <hyperlink ref="C29:D29" r:id="rId1" display="Link" xr:uid="{A84D86FA-48B5-44CA-921D-0808FAD93C29}"/>
    <hyperlink ref="H7:K7" r:id="rId2" display="Ten Entertainment Group" xr:uid="{3ECDA33B-F500-4B53-BFC3-C26A5E9CD34E}"/>
    <hyperlink ref="P13" r:id="rId3" xr:uid="{D95A0780-5F95-45A9-AA92-44BF55CFDC51}"/>
    <hyperlink ref="P11" r:id="rId4" xr:uid="{66193291-EDC1-402D-BD22-8E08782733F4}"/>
  </hyperlinks>
  <pageMargins left="0.7" right="0.7" top="0.75" bottom="0.75" header="0.3" footer="0.3"/>
  <pageSetup paperSize="256" orientation="portrait" horizontalDpi="203" verticalDpi="203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8208-8B07-4316-8637-70611CF2B90F}">
  <dimension ref="A1:DA93"/>
  <sheetViews>
    <sheetView tabSelected="1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S11" sqref="S11"/>
    </sheetView>
  </sheetViews>
  <sheetFormatPr defaultColWidth="9.140625" defaultRowHeight="12.75" x14ac:dyDescent="0.2"/>
  <cols>
    <col min="1" max="1" width="4.42578125" style="1" customWidth="1"/>
    <col min="2" max="2" width="21.85546875" style="1" bestFit="1" customWidth="1"/>
    <col min="3" max="4" width="9.140625" style="1"/>
    <col min="5" max="5" width="9.140625" style="25"/>
    <col min="6" max="6" width="9.140625" style="1"/>
    <col min="7" max="7" width="9.140625" style="25"/>
    <col min="8" max="8" width="9.140625" style="1"/>
    <col min="9" max="9" width="9.140625" style="25"/>
    <col min="10" max="10" width="9.140625" style="1"/>
    <col min="11" max="11" width="9.140625" style="25"/>
    <col min="12" max="12" width="9.140625" style="1"/>
    <col min="13" max="13" width="9.140625" style="25"/>
    <col min="14" max="14" width="9.140625" style="1"/>
    <col min="15" max="15" width="9.140625" style="25"/>
    <col min="16" max="16" width="9.140625" style="1"/>
    <col min="17" max="17" width="9.140625" style="25"/>
    <col min="18" max="18" width="9.140625" style="1"/>
    <col min="19" max="19" width="9.140625" style="25"/>
    <col min="20" max="31" width="9.140625" style="1"/>
    <col min="32" max="32" width="9.140625" style="78"/>
    <col min="33" max="48" width="9.140625" style="1"/>
    <col min="49" max="49" width="15.7109375" style="1" bestFit="1" customWidth="1"/>
    <col min="50" max="16384" width="9.140625" style="1"/>
  </cols>
  <sheetData>
    <row r="1" spans="1:105" s="10" customFormat="1" x14ac:dyDescent="0.2">
      <c r="D1" s="10" t="s">
        <v>113</v>
      </c>
      <c r="E1" s="24" t="s">
        <v>111</v>
      </c>
      <c r="F1" s="10" t="s">
        <v>13</v>
      </c>
      <c r="G1" s="24" t="s">
        <v>112</v>
      </c>
      <c r="H1" s="28" t="s">
        <v>14</v>
      </c>
      <c r="I1" s="24" t="s">
        <v>15</v>
      </c>
      <c r="J1" s="10" t="s">
        <v>16</v>
      </c>
      <c r="K1" s="24" t="s">
        <v>17</v>
      </c>
      <c r="L1" s="28" t="s">
        <v>18</v>
      </c>
      <c r="M1" s="24" t="s">
        <v>19</v>
      </c>
      <c r="N1" s="28" t="s">
        <v>149</v>
      </c>
      <c r="O1" s="24" t="s">
        <v>154</v>
      </c>
      <c r="P1" s="10" t="s">
        <v>155</v>
      </c>
      <c r="Q1" s="24" t="s">
        <v>158</v>
      </c>
      <c r="R1" s="28" t="s">
        <v>170</v>
      </c>
      <c r="S1" s="24" t="s">
        <v>172</v>
      </c>
      <c r="T1" s="28" t="s">
        <v>174</v>
      </c>
      <c r="V1" s="10" t="s">
        <v>70</v>
      </c>
      <c r="W1" s="28" t="s">
        <v>69</v>
      </c>
      <c r="X1" s="10" t="s">
        <v>25</v>
      </c>
      <c r="Y1" s="28" t="s">
        <v>20</v>
      </c>
      <c r="Z1" s="10" t="s">
        <v>21</v>
      </c>
      <c r="AA1" s="28" t="s">
        <v>22</v>
      </c>
      <c r="AB1" s="28" t="s">
        <v>23</v>
      </c>
      <c r="AC1" s="28" t="s">
        <v>24</v>
      </c>
      <c r="AD1" s="28" t="s">
        <v>72</v>
      </c>
      <c r="AE1" s="28" t="s">
        <v>73</v>
      </c>
      <c r="AF1" s="129" t="s">
        <v>72</v>
      </c>
      <c r="AG1" s="28" t="s">
        <v>73</v>
      </c>
      <c r="AH1" s="10" t="s">
        <v>74</v>
      </c>
      <c r="AI1" s="10" t="s">
        <v>75</v>
      </c>
      <c r="AJ1" s="10" t="s">
        <v>76</v>
      </c>
      <c r="AK1" s="10" t="s">
        <v>77</v>
      </c>
      <c r="AL1" s="10" t="s">
        <v>78</v>
      </c>
      <c r="AM1" s="10" t="s">
        <v>79</v>
      </c>
      <c r="AN1" s="10" t="s">
        <v>80</v>
      </c>
      <c r="AO1" s="10" t="s">
        <v>81</v>
      </c>
      <c r="AP1" s="10" t="s">
        <v>82</v>
      </c>
      <c r="AQ1" s="10" t="s">
        <v>83</v>
      </c>
      <c r="AR1" s="10" t="s">
        <v>84</v>
      </c>
      <c r="AS1" s="10" t="s">
        <v>85</v>
      </c>
      <c r="AT1" s="10" t="s">
        <v>86</v>
      </c>
      <c r="AU1" s="10" t="s">
        <v>156</v>
      </c>
    </row>
    <row r="2" spans="1:105" s="21" customFormat="1" x14ac:dyDescent="0.2">
      <c r="A2" s="20"/>
      <c r="B2" s="19"/>
      <c r="E2" s="35"/>
      <c r="F2" s="22">
        <v>43921</v>
      </c>
      <c r="G2" s="35">
        <v>43738</v>
      </c>
      <c r="H2" s="22">
        <v>43921</v>
      </c>
      <c r="I2" s="35">
        <v>44104</v>
      </c>
      <c r="J2" s="22">
        <v>44286</v>
      </c>
      <c r="K2" s="35">
        <v>44469</v>
      </c>
      <c r="L2" s="22">
        <v>44651</v>
      </c>
      <c r="M2" s="35">
        <v>44834</v>
      </c>
      <c r="N2" s="22">
        <v>45016</v>
      </c>
      <c r="O2" s="35">
        <f>AC2</f>
        <v>45199</v>
      </c>
      <c r="P2" s="22">
        <v>45382</v>
      </c>
      <c r="Q2" s="35">
        <f>+AD2</f>
        <v>45565</v>
      </c>
      <c r="R2" s="22">
        <v>45747</v>
      </c>
      <c r="S2" s="35">
        <f>+AE2</f>
        <v>45930</v>
      </c>
      <c r="T2" s="22">
        <v>46112</v>
      </c>
      <c r="V2" s="22">
        <v>42643</v>
      </c>
      <c r="W2" s="22">
        <v>43008</v>
      </c>
      <c r="X2" s="22">
        <v>43373</v>
      </c>
      <c r="Y2" s="22">
        <v>43738</v>
      </c>
      <c r="Z2" s="22">
        <v>44104</v>
      </c>
      <c r="AA2" s="22">
        <v>44469</v>
      </c>
      <c r="AB2" s="22">
        <v>44834</v>
      </c>
      <c r="AC2" s="22">
        <v>45199</v>
      </c>
      <c r="AD2" s="22">
        <v>45565</v>
      </c>
      <c r="AE2" s="22">
        <v>45930</v>
      </c>
      <c r="AF2" s="130" t="s">
        <v>67</v>
      </c>
      <c r="AG2" s="21" t="s">
        <v>67</v>
      </c>
      <c r="AH2" s="21" t="s">
        <v>67</v>
      </c>
      <c r="AI2" s="21" t="s">
        <v>67</v>
      </c>
      <c r="AJ2" s="21" t="s">
        <v>67</v>
      </c>
      <c r="AK2" s="21" t="s">
        <v>67</v>
      </c>
      <c r="AL2" s="21" t="s">
        <v>67</v>
      </c>
      <c r="AM2" s="21" t="s">
        <v>67</v>
      </c>
      <c r="AN2" s="21" t="s">
        <v>67</v>
      </c>
      <c r="AO2" s="21" t="s">
        <v>67</v>
      </c>
      <c r="AP2" s="21" t="s">
        <v>67</v>
      </c>
      <c r="AQ2" s="21" t="s">
        <v>67</v>
      </c>
      <c r="AR2" s="21" t="s">
        <v>67</v>
      </c>
      <c r="AS2" s="21" t="s">
        <v>67</v>
      </c>
      <c r="AT2" s="21" t="s">
        <v>67</v>
      </c>
      <c r="AU2" s="21" t="s">
        <v>67</v>
      </c>
    </row>
    <row r="3" spans="1:105" s="3" customFormat="1" x14ac:dyDescent="0.2">
      <c r="A3" s="11"/>
      <c r="B3" s="3" t="s">
        <v>12</v>
      </c>
      <c r="E3" s="30"/>
      <c r="F3" s="12">
        <v>66.989999999999995</v>
      </c>
      <c r="G3" s="30">
        <f t="shared" ref="G3:G12" si="0">Y3-F3</f>
        <v>62.904000000000011</v>
      </c>
      <c r="H3" s="36">
        <v>69.23</v>
      </c>
      <c r="I3" s="30">
        <f>Z3-H3</f>
        <v>10.242999999999995</v>
      </c>
      <c r="J3" s="12">
        <v>10.433</v>
      </c>
      <c r="K3" s="30">
        <f>AA3-J3</f>
        <v>61.445</v>
      </c>
      <c r="L3" s="12">
        <v>100.173</v>
      </c>
      <c r="M3" s="30">
        <f>AB3-L3</f>
        <v>93.568000000000012</v>
      </c>
      <c r="N3" s="12">
        <v>110.05200000000001</v>
      </c>
      <c r="O3" s="30">
        <f>AC3-N3</f>
        <v>105.02999999999999</v>
      </c>
      <c r="P3" s="12">
        <v>119.187</v>
      </c>
      <c r="Q3" s="30">
        <f>+AD3-P3</f>
        <v>111.212</v>
      </c>
      <c r="R3" s="12">
        <v>129.249</v>
      </c>
      <c r="S3" s="30">
        <f>+AE3-R3</f>
        <v>121.41300000000001</v>
      </c>
      <c r="T3" s="12">
        <v>141.53899999999999</v>
      </c>
      <c r="V3" s="12">
        <v>104.803</v>
      </c>
      <c r="W3" s="12">
        <v>113.968</v>
      </c>
      <c r="X3" s="12">
        <v>120.548</v>
      </c>
      <c r="Y3" s="12">
        <v>129.89400000000001</v>
      </c>
      <c r="Z3" s="12">
        <v>79.472999999999999</v>
      </c>
      <c r="AA3" s="12">
        <v>71.878</v>
      </c>
      <c r="AB3" s="12">
        <v>193.74100000000001</v>
      </c>
      <c r="AC3" s="12">
        <v>215.08199999999999</v>
      </c>
      <c r="AD3" s="12">
        <v>230.399</v>
      </c>
      <c r="AE3" s="12">
        <v>250.66200000000001</v>
      </c>
      <c r="AF3" s="131">
        <f>AC3*(1+AF21)</f>
        <v>238.74102000000002</v>
      </c>
      <c r="AG3" s="36">
        <f>AF3*(1+AG21)</f>
        <v>257.84030160000003</v>
      </c>
      <c r="AH3" s="36">
        <f t="shared" ref="AH3:AU3" si="1">AG3*(1+AH21)</f>
        <v>275.88912271200007</v>
      </c>
      <c r="AI3" s="36">
        <f t="shared" si="1"/>
        <v>292.44247007472012</v>
      </c>
      <c r="AJ3" s="36">
        <f t="shared" si="1"/>
        <v>307.06459357845614</v>
      </c>
      <c r="AK3" s="36">
        <f t="shared" si="1"/>
        <v>322.41782325737898</v>
      </c>
      <c r="AL3" s="36">
        <f t="shared" si="1"/>
        <v>338.53871442024797</v>
      </c>
      <c r="AM3" s="36">
        <f t="shared" si="1"/>
        <v>352.0802629970579</v>
      </c>
      <c r="AN3" s="36">
        <f t="shared" si="1"/>
        <v>366.16347351694026</v>
      </c>
      <c r="AO3" s="36">
        <f t="shared" si="1"/>
        <v>380.81001245761786</v>
      </c>
      <c r="AP3" s="36">
        <f t="shared" si="1"/>
        <v>388.42621270677023</v>
      </c>
      <c r="AQ3" s="36">
        <f t="shared" si="1"/>
        <v>396.19473696090563</v>
      </c>
      <c r="AR3" s="36">
        <f t="shared" si="1"/>
        <v>404.11863170012373</v>
      </c>
      <c r="AS3" s="36">
        <f t="shared" si="1"/>
        <v>412.2010043341262</v>
      </c>
      <c r="AT3" s="36">
        <f t="shared" si="1"/>
        <v>420.44502442080875</v>
      </c>
      <c r="AU3" s="36">
        <f t="shared" si="1"/>
        <v>428.85392490922493</v>
      </c>
    </row>
    <row r="4" spans="1:105" x14ac:dyDescent="0.2">
      <c r="A4" s="11"/>
      <c r="B4" s="1" t="s">
        <v>33</v>
      </c>
      <c r="E4" s="31"/>
      <c r="F4" s="14">
        <v>9.4740000000000002</v>
      </c>
      <c r="G4" s="31">
        <f t="shared" si="0"/>
        <v>9.0680000000000014</v>
      </c>
      <c r="H4" s="27">
        <v>9.9760000000000009</v>
      </c>
      <c r="I4" s="31">
        <f>Z4-H4</f>
        <v>1.5669999999999984</v>
      </c>
      <c r="J4" s="14">
        <v>1.1919999999999999</v>
      </c>
      <c r="K4" s="31">
        <f>AA4-J4</f>
        <v>9.0649999999999995</v>
      </c>
      <c r="L4" s="14">
        <v>13.641</v>
      </c>
      <c r="M4" s="31">
        <f>AB4-L4</f>
        <v>15.750999999999999</v>
      </c>
      <c r="N4" s="14">
        <v>18.972000000000001</v>
      </c>
      <c r="O4" s="31">
        <f>AC4-N4</f>
        <v>59.235999999999997</v>
      </c>
      <c r="P4" s="14">
        <f>19.825+22.269</f>
        <v>42.093999999999994</v>
      </c>
      <c r="Q4" s="31">
        <f>+AD4-P4</f>
        <v>42.807000000000002</v>
      </c>
      <c r="R4" s="14">
        <f>21.95+24.869</f>
        <v>46.819000000000003</v>
      </c>
      <c r="S4" s="31">
        <f>+AE4-R4</f>
        <v>46.875</v>
      </c>
      <c r="T4" s="14">
        <f>23.24+29.461</f>
        <v>52.700999999999993</v>
      </c>
      <c r="V4" s="14">
        <v>15.375999999999999</v>
      </c>
      <c r="W4" s="14">
        <v>15.349</v>
      </c>
      <c r="X4" s="14">
        <v>16.748000000000001</v>
      </c>
      <c r="Y4" s="14">
        <v>18.542000000000002</v>
      </c>
      <c r="Z4" s="14">
        <v>11.542999999999999</v>
      </c>
      <c r="AA4" s="14">
        <v>10.257</v>
      </c>
      <c r="AB4" s="14">
        <v>29.391999999999999</v>
      </c>
      <c r="AC4" s="14">
        <f>37.491+40.717</f>
        <v>78.207999999999998</v>
      </c>
      <c r="AD4" s="14">
        <f>39.178+45.723</f>
        <v>84.900999999999996</v>
      </c>
      <c r="AE4" s="14">
        <f>41.851+51.843</f>
        <v>93.694000000000003</v>
      </c>
      <c r="AF4" s="132">
        <f>AF3*0.16</f>
        <v>38.198563200000002</v>
      </c>
      <c r="AG4" s="27">
        <f>AG3*0.38</f>
        <v>97.97931460800001</v>
      </c>
      <c r="AH4" s="27">
        <f t="shared" ref="AH4:AU4" si="2">AH3*0.38</f>
        <v>104.83786663056003</v>
      </c>
      <c r="AI4" s="27">
        <f t="shared" si="2"/>
        <v>111.12813862839364</v>
      </c>
      <c r="AJ4" s="27">
        <f t="shared" si="2"/>
        <v>116.68454555981333</v>
      </c>
      <c r="AK4" s="27">
        <f t="shared" si="2"/>
        <v>122.51877283780402</v>
      </c>
      <c r="AL4" s="27">
        <f t="shared" si="2"/>
        <v>128.64471147969422</v>
      </c>
      <c r="AM4" s="27">
        <f t="shared" si="2"/>
        <v>133.79049993888199</v>
      </c>
      <c r="AN4" s="27">
        <f t="shared" si="2"/>
        <v>139.1421199364373</v>
      </c>
      <c r="AO4" s="27">
        <f t="shared" si="2"/>
        <v>144.70780473389479</v>
      </c>
      <c r="AP4" s="27">
        <f t="shared" si="2"/>
        <v>147.60196082857269</v>
      </c>
      <c r="AQ4" s="27">
        <f t="shared" si="2"/>
        <v>150.55400004514414</v>
      </c>
      <c r="AR4" s="27">
        <f t="shared" si="2"/>
        <v>153.56508004604703</v>
      </c>
      <c r="AS4" s="27">
        <f t="shared" si="2"/>
        <v>156.63638164696795</v>
      </c>
      <c r="AT4" s="27">
        <f t="shared" si="2"/>
        <v>159.76910927990733</v>
      </c>
      <c r="AU4" s="27">
        <f t="shared" si="2"/>
        <v>162.96449146550549</v>
      </c>
    </row>
    <row r="5" spans="1:105" s="3" customFormat="1" x14ac:dyDescent="0.2">
      <c r="A5" s="11"/>
      <c r="B5" s="3" t="s">
        <v>34</v>
      </c>
      <c r="E5" s="30"/>
      <c r="F5" s="12">
        <f>F3-F4</f>
        <v>57.515999999999991</v>
      </c>
      <c r="G5" s="30">
        <f t="shared" si="0"/>
        <v>53.836000000000013</v>
      </c>
      <c r="H5" s="36">
        <f t="shared" ref="H5:R5" si="3">H3-H4</f>
        <v>59.254000000000005</v>
      </c>
      <c r="I5" s="30">
        <f t="shared" si="3"/>
        <v>8.6759999999999966</v>
      </c>
      <c r="J5" s="12">
        <f t="shared" si="3"/>
        <v>9.2409999999999997</v>
      </c>
      <c r="K5" s="30">
        <f t="shared" si="3"/>
        <v>52.38</v>
      </c>
      <c r="L5" s="12">
        <f t="shared" si="3"/>
        <v>86.531999999999996</v>
      </c>
      <c r="M5" s="30">
        <f t="shared" si="3"/>
        <v>77.817000000000007</v>
      </c>
      <c r="N5" s="12">
        <f t="shared" si="3"/>
        <v>91.080000000000013</v>
      </c>
      <c r="O5" s="30">
        <f t="shared" si="3"/>
        <v>45.79399999999999</v>
      </c>
      <c r="P5" s="12">
        <f t="shared" si="3"/>
        <v>77.093000000000004</v>
      </c>
      <c r="Q5" s="30">
        <f t="shared" ref="Q5:T5" si="4">Q3-Q4</f>
        <v>68.405000000000001</v>
      </c>
      <c r="R5" s="12">
        <f t="shared" si="3"/>
        <v>82.429999999999993</v>
      </c>
      <c r="S5" s="30">
        <f t="shared" si="4"/>
        <v>74.538000000000011</v>
      </c>
      <c r="T5" s="12">
        <f t="shared" si="4"/>
        <v>88.837999999999994</v>
      </c>
      <c r="V5" s="12">
        <f t="shared" ref="V5:AE5" si="5">V3-V4</f>
        <v>89.426999999999992</v>
      </c>
      <c r="W5" s="12">
        <f t="shared" si="5"/>
        <v>98.619</v>
      </c>
      <c r="X5" s="12">
        <f t="shared" si="5"/>
        <v>103.8</v>
      </c>
      <c r="Y5" s="12">
        <f t="shared" si="5"/>
        <v>111.352</v>
      </c>
      <c r="Z5" s="12">
        <f t="shared" si="5"/>
        <v>67.930000000000007</v>
      </c>
      <c r="AA5" s="12">
        <f t="shared" si="5"/>
        <v>61.621000000000002</v>
      </c>
      <c r="AB5" s="12">
        <f t="shared" si="5"/>
        <v>164.34900000000002</v>
      </c>
      <c r="AC5" s="12">
        <f t="shared" si="5"/>
        <v>136.874</v>
      </c>
      <c r="AD5" s="12">
        <f t="shared" si="5"/>
        <v>145.49799999999999</v>
      </c>
      <c r="AE5" s="12">
        <f t="shared" si="5"/>
        <v>156.96800000000002</v>
      </c>
      <c r="AF5" s="131">
        <f>AF3-AF4</f>
        <v>200.54245680000002</v>
      </c>
      <c r="AG5" s="12">
        <f t="shared" ref="AG5:AU5" si="6">AG3-AG4</f>
        <v>159.86098699200002</v>
      </c>
      <c r="AH5" s="12">
        <f t="shared" si="6"/>
        <v>171.05125608144004</v>
      </c>
      <c r="AI5" s="12">
        <f t="shared" si="6"/>
        <v>181.31433144632649</v>
      </c>
      <c r="AJ5" s="12">
        <f t="shared" si="6"/>
        <v>190.38004801864281</v>
      </c>
      <c r="AK5" s="12">
        <f t="shared" si="6"/>
        <v>199.89905041957496</v>
      </c>
      <c r="AL5" s="12">
        <f t="shared" si="6"/>
        <v>209.89400294055375</v>
      </c>
      <c r="AM5" s="12">
        <f t="shared" si="6"/>
        <v>218.28976305817591</v>
      </c>
      <c r="AN5" s="12">
        <f t="shared" si="6"/>
        <v>227.02135358050296</v>
      </c>
      <c r="AO5" s="12">
        <f t="shared" si="6"/>
        <v>236.10220772372307</v>
      </c>
      <c r="AP5" s="12">
        <f t="shared" si="6"/>
        <v>240.82425187819754</v>
      </c>
      <c r="AQ5" s="12">
        <f t="shared" si="6"/>
        <v>245.64073691576149</v>
      </c>
      <c r="AR5" s="12">
        <f t="shared" si="6"/>
        <v>250.5535516540767</v>
      </c>
      <c r="AS5" s="12">
        <f t="shared" si="6"/>
        <v>255.56462268715825</v>
      </c>
      <c r="AT5" s="12">
        <f t="shared" si="6"/>
        <v>260.67591514090145</v>
      </c>
      <c r="AU5" s="12">
        <f t="shared" si="6"/>
        <v>265.88943344371944</v>
      </c>
    </row>
    <row r="6" spans="1:105" x14ac:dyDescent="0.2">
      <c r="A6" s="12"/>
      <c r="B6" s="1" t="s">
        <v>35</v>
      </c>
      <c r="E6" s="31"/>
      <c r="F6" s="14">
        <v>0</v>
      </c>
      <c r="G6" s="31">
        <f t="shared" si="0"/>
        <v>0</v>
      </c>
      <c r="H6" s="27">
        <v>0</v>
      </c>
      <c r="I6" s="31">
        <f>Z6-H6</f>
        <v>0</v>
      </c>
      <c r="J6" s="14">
        <v>1.5940000000000001</v>
      </c>
      <c r="K6" s="31">
        <f>AA6-J6</f>
        <v>1.22</v>
      </c>
      <c r="L6" s="14">
        <v>0</v>
      </c>
      <c r="M6" s="31">
        <f>AB6-L6</f>
        <v>3.9E-2</v>
      </c>
      <c r="N6" s="14">
        <v>0</v>
      </c>
      <c r="O6" s="31">
        <f t="shared" ref="O6:O11" si="7">AC6-N6</f>
        <v>0</v>
      </c>
      <c r="P6" s="14">
        <v>0</v>
      </c>
      <c r="Q6" s="31">
        <f>+AD6-P6</f>
        <v>0.60699999999999998</v>
      </c>
      <c r="R6" s="14">
        <v>1.613</v>
      </c>
      <c r="S6" s="31">
        <f t="shared" ref="S6:S7" si="8">+AE6-R6</f>
        <v>0</v>
      </c>
      <c r="T6" s="14">
        <v>0</v>
      </c>
      <c r="V6" s="14">
        <v>1.395</v>
      </c>
      <c r="W6" s="14">
        <v>0.08</v>
      </c>
      <c r="X6" s="14">
        <v>0</v>
      </c>
      <c r="Y6" s="14">
        <v>0</v>
      </c>
      <c r="Z6" s="14">
        <v>0</v>
      </c>
      <c r="AA6" s="14">
        <v>2.8140000000000001</v>
      </c>
      <c r="AB6" s="14">
        <v>3.9E-2</v>
      </c>
      <c r="AC6" s="14">
        <v>0</v>
      </c>
      <c r="AD6" s="14">
        <v>0.60699999999999998</v>
      </c>
      <c r="AE6" s="14">
        <v>1.613</v>
      </c>
      <c r="AF6" s="132">
        <f>-AVERAGE(Y6:AC6)</f>
        <v>-0.5706</v>
      </c>
      <c r="AG6" s="14">
        <f t="shared" ref="AG6:AM6" si="9">AVERAGE(V6:AF6)</f>
        <v>0.54339999999999999</v>
      </c>
      <c r="AH6" s="14">
        <f t="shared" si="9"/>
        <v>0.46598181818181827</v>
      </c>
      <c r="AI6" s="14">
        <f t="shared" si="9"/>
        <v>0.5010710743801654</v>
      </c>
      <c r="AJ6" s="14">
        <f t="shared" si="9"/>
        <v>0.54662299023290772</v>
      </c>
      <c r="AK6" s="14">
        <f t="shared" si="9"/>
        <v>0.59631598934499019</v>
      </c>
      <c r="AL6" s="14">
        <f t="shared" si="9"/>
        <v>0.65052653383089842</v>
      </c>
      <c r="AM6" s="14">
        <f t="shared" si="9"/>
        <v>0.4538471278155255</v>
      </c>
      <c r="AN6" s="14">
        <f>AVERAGE(AF6:AM6)</f>
        <v>0.39839569172328815</v>
      </c>
      <c r="AO6" s="14">
        <f t="shared" ref="AO6:AU6" si="10">AVERAGE(AG6:AN6)</f>
        <v>0.51952015318869915</v>
      </c>
      <c r="AP6" s="14">
        <f t="shared" si="10"/>
        <v>0.51653517233728663</v>
      </c>
      <c r="AQ6" s="14">
        <f t="shared" si="10"/>
        <v>0.52285434160672006</v>
      </c>
      <c r="AR6" s="14">
        <f t="shared" si="10"/>
        <v>0.52557725001003952</v>
      </c>
      <c r="AS6" s="14">
        <f t="shared" si="10"/>
        <v>0.52294653248218093</v>
      </c>
      <c r="AT6" s="14">
        <f t="shared" si="10"/>
        <v>0.51377535037432975</v>
      </c>
      <c r="AU6" s="14">
        <f t="shared" si="10"/>
        <v>0.49668145244225875</v>
      </c>
    </row>
    <row r="7" spans="1:105" x14ac:dyDescent="0.2">
      <c r="B7" s="1" t="s">
        <v>36</v>
      </c>
      <c r="E7" s="31"/>
      <c r="F7" s="14">
        <v>40.753</v>
      </c>
      <c r="G7" s="31">
        <f t="shared" si="0"/>
        <v>42.155000000000001</v>
      </c>
      <c r="H7" s="27">
        <v>40.078000000000003</v>
      </c>
      <c r="I7" s="31">
        <f>Z7-H7</f>
        <v>17.991</v>
      </c>
      <c r="J7" s="14">
        <v>20.856999999999999</v>
      </c>
      <c r="K7" s="31">
        <f>AA7-J7</f>
        <v>33.997999999999998</v>
      </c>
      <c r="L7" s="14">
        <v>48.915999999999997</v>
      </c>
      <c r="M7" s="31">
        <f>AB7-L7</f>
        <v>60.022999999999996</v>
      </c>
      <c r="N7" s="14">
        <v>58.933999999999997</v>
      </c>
      <c r="O7" s="31">
        <f t="shared" si="7"/>
        <v>23.855000000000004</v>
      </c>
      <c r="P7" s="14">
        <v>42.725000000000001</v>
      </c>
      <c r="Q7" s="31">
        <f>+AD7-P7</f>
        <v>49.874000000000002</v>
      </c>
      <c r="R7" s="14">
        <v>49.155000000000001</v>
      </c>
      <c r="S7" s="31">
        <f t="shared" si="8"/>
        <v>51.201999999999998</v>
      </c>
      <c r="T7" s="14">
        <v>54.137999999999998</v>
      </c>
      <c r="V7" s="14">
        <v>76.444000000000003</v>
      </c>
      <c r="W7" s="14">
        <v>76.498000000000005</v>
      </c>
      <c r="X7" s="14">
        <v>78.908000000000001</v>
      </c>
      <c r="Y7" s="14">
        <v>82.908000000000001</v>
      </c>
      <c r="Z7" s="14">
        <v>58.069000000000003</v>
      </c>
      <c r="AA7" s="14">
        <v>54.854999999999997</v>
      </c>
      <c r="AB7" s="14">
        <v>108.93899999999999</v>
      </c>
      <c r="AC7" s="14">
        <v>82.789000000000001</v>
      </c>
      <c r="AD7" s="14">
        <v>92.599000000000004</v>
      </c>
      <c r="AE7" s="14">
        <v>100.357</v>
      </c>
      <c r="AF7" s="132">
        <f>AF5*0.62</f>
        <v>124.33632321600001</v>
      </c>
      <c r="AG7" s="27">
        <f>AG5*0.63</f>
        <v>100.71242180496002</v>
      </c>
      <c r="AH7" s="27">
        <f t="shared" ref="AH7:AU7" si="11">AH5*0.63</f>
        <v>107.76229133130722</v>
      </c>
      <c r="AI7" s="27">
        <f t="shared" si="11"/>
        <v>114.22802881118569</v>
      </c>
      <c r="AJ7" s="27">
        <f t="shared" si="11"/>
        <v>119.93943025174497</v>
      </c>
      <c r="AK7" s="27">
        <f t="shared" si="11"/>
        <v>125.93640176433223</v>
      </c>
      <c r="AL7" s="27">
        <f t="shared" si="11"/>
        <v>132.23322185254887</v>
      </c>
      <c r="AM7" s="27">
        <f t="shared" si="11"/>
        <v>137.52255072665082</v>
      </c>
      <c r="AN7" s="27">
        <f t="shared" si="11"/>
        <v>143.02345275571687</v>
      </c>
      <c r="AO7" s="27">
        <f t="shared" si="11"/>
        <v>148.74439086594555</v>
      </c>
      <c r="AP7" s="27">
        <f t="shared" si="11"/>
        <v>151.71927868326446</v>
      </c>
      <c r="AQ7" s="27">
        <f t="shared" si="11"/>
        <v>154.75366425692974</v>
      </c>
      <c r="AR7" s="27">
        <f t="shared" si="11"/>
        <v>157.84873754206833</v>
      </c>
      <c r="AS7" s="27">
        <f t="shared" si="11"/>
        <v>161.00571229290969</v>
      </c>
      <c r="AT7" s="27">
        <f t="shared" si="11"/>
        <v>164.2258265387679</v>
      </c>
      <c r="AU7" s="27">
        <f t="shared" si="11"/>
        <v>167.51034306954324</v>
      </c>
    </row>
    <row r="8" spans="1:105" s="3" customFormat="1" x14ac:dyDescent="0.2">
      <c r="B8" s="3" t="s">
        <v>37</v>
      </c>
      <c r="E8" s="30"/>
      <c r="F8" s="12">
        <f>F5+F6-F7</f>
        <v>16.762999999999991</v>
      </c>
      <c r="G8" s="30">
        <f t="shared" si="0"/>
        <v>11.681000000000012</v>
      </c>
      <c r="H8" s="36">
        <f t="shared" ref="H8:R8" si="12">H5+H6-H7</f>
        <v>19.176000000000002</v>
      </c>
      <c r="I8" s="30">
        <f t="shared" si="12"/>
        <v>-9.3150000000000031</v>
      </c>
      <c r="J8" s="12">
        <f t="shared" si="12"/>
        <v>-10.022</v>
      </c>
      <c r="K8" s="30">
        <f t="shared" si="12"/>
        <v>19.602000000000004</v>
      </c>
      <c r="L8" s="12">
        <f t="shared" si="12"/>
        <v>37.616</v>
      </c>
      <c r="M8" s="30">
        <f t="shared" si="12"/>
        <v>17.833000000000013</v>
      </c>
      <c r="N8" s="12">
        <f t="shared" si="12"/>
        <v>32.146000000000015</v>
      </c>
      <c r="O8" s="30">
        <f t="shared" si="12"/>
        <v>21.938999999999986</v>
      </c>
      <c r="P8" s="12">
        <f t="shared" si="12"/>
        <v>34.368000000000002</v>
      </c>
      <c r="Q8" s="30">
        <f t="shared" ref="Q8:T8" si="13">Q5+Q6-Q7</f>
        <v>19.137999999999998</v>
      </c>
      <c r="R8" s="12">
        <f t="shared" si="12"/>
        <v>34.887999999999991</v>
      </c>
      <c r="S8" s="30">
        <f t="shared" si="13"/>
        <v>23.336000000000013</v>
      </c>
      <c r="T8" s="12">
        <f t="shared" si="13"/>
        <v>34.699999999999996</v>
      </c>
      <c r="V8" s="12">
        <f t="shared" ref="V8:AF8" si="14">V5+V6-V7</f>
        <v>14.377999999999986</v>
      </c>
      <c r="W8" s="12">
        <f t="shared" si="14"/>
        <v>22.200999999999993</v>
      </c>
      <c r="X8" s="12">
        <f t="shared" si="14"/>
        <v>24.891999999999996</v>
      </c>
      <c r="Y8" s="12">
        <f t="shared" si="14"/>
        <v>28.444000000000003</v>
      </c>
      <c r="Z8" s="12">
        <f t="shared" si="14"/>
        <v>9.8610000000000042</v>
      </c>
      <c r="AA8" s="12">
        <f t="shared" si="14"/>
        <v>9.5800000000000054</v>
      </c>
      <c r="AB8" s="12">
        <f t="shared" si="14"/>
        <v>55.449000000000012</v>
      </c>
      <c r="AC8" s="12">
        <f t="shared" si="14"/>
        <v>54.084999999999994</v>
      </c>
      <c r="AD8" s="12">
        <f t="shared" si="14"/>
        <v>53.505999999999986</v>
      </c>
      <c r="AE8" s="12">
        <f t="shared" si="14"/>
        <v>58.224000000000018</v>
      </c>
      <c r="AF8" s="41">
        <f t="shared" si="14"/>
        <v>75.635533584000001</v>
      </c>
      <c r="AG8" s="12">
        <f t="shared" ref="AG8:AU8" si="15">AG5+AG6-AG7</f>
        <v>59.691965187039997</v>
      </c>
      <c r="AH8" s="12">
        <f t="shared" si="15"/>
        <v>63.754946568314651</v>
      </c>
      <c r="AI8" s="12">
        <f t="shared" si="15"/>
        <v>67.587373709520975</v>
      </c>
      <c r="AJ8" s="12">
        <f t="shared" si="15"/>
        <v>70.987240757130763</v>
      </c>
      <c r="AK8" s="12">
        <f t="shared" si="15"/>
        <v>74.558964644587718</v>
      </c>
      <c r="AL8" s="12">
        <f t="shared" si="15"/>
        <v>78.311307621835766</v>
      </c>
      <c r="AM8" s="12">
        <f t="shared" si="15"/>
        <v>81.221059459340609</v>
      </c>
      <c r="AN8" s="12">
        <f t="shared" si="15"/>
        <v>84.396296516509381</v>
      </c>
      <c r="AO8" s="12">
        <f t="shared" si="15"/>
        <v>87.877337010966215</v>
      </c>
      <c r="AP8" s="12">
        <f t="shared" si="15"/>
        <v>89.621508367270366</v>
      </c>
      <c r="AQ8" s="12">
        <f t="shared" si="15"/>
        <v>91.409927000438472</v>
      </c>
      <c r="AR8" s="12">
        <f t="shared" si="15"/>
        <v>93.230391362018395</v>
      </c>
      <c r="AS8" s="12">
        <f t="shared" si="15"/>
        <v>95.081856926730751</v>
      </c>
      <c r="AT8" s="12">
        <f t="shared" si="15"/>
        <v>96.963863952507864</v>
      </c>
      <c r="AU8" s="12">
        <f t="shared" si="15"/>
        <v>98.875771826618461</v>
      </c>
    </row>
    <row r="9" spans="1:105" x14ac:dyDescent="0.2">
      <c r="B9" s="1" t="s">
        <v>38</v>
      </c>
      <c r="E9" s="31"/>
      <c r="F9" s="14">
        <f>0.482-0.104</f>
        <v>0.378</v>
      </c>
      <c r="G9" s="31">
        <f t="shared" si="0"/>
        <v>0.47799999999999987</v>
      </c>
      <c r="H9" s="27">
        <f>4.773-0.065</f>
        <v>4.7079999999999993</v>
      </c>
      <c r="I9" s="31">
        <f>Z9-H9</f>
        <v>3.9570000000000016</v>
      </c>
      <c r="J9" s="14">
        <v>4.4669999999999996</v>
      </c>
      <c r="K9" s="31">
        <f>AA9-J9</f>
        <v>4.6510000000000007</v>
      </c>
      <c r="L9" s="14">
        <v>4.1790000000000003</v>
      </c>
      <c r="M9" s="31">
        <f>AB9-L9</f>
        <v>4.6049999999999986</v>
      </c>
      <c r="N9" s="14">
        <v>4.4569999999999999</v>
      </c>
      <c r="O9" s="31">
        <f t="shared" si="7"/>
        <v>4.5480000000000009</v>
      </c>
      <c r="P9" s="14">
        <f>-1.029+5.869</f>
        <v>4.84</v>
      </c>
      <c r="Q9" s="31">
        <f>+AD9-P9</f>
        <v>5.9080000000000013</v>
      </c>
      <c r="R9" s="14">
        <f>-0.555+7.109</f>
        <v>6.5540000000000003</v>
      </c>
      <c r="S9" s="30">
        <f t="shared" ref="S9:S11" si="16">+AE9-R9</f>
        <v>7.3859999999999992</v>
      </c>
      <c r="T9" s="14">
        <f>-0.329+7.797</f>
        <v>7.468</v>
      </c>
      <c r="V9" s="14">
        <f>-0.022+11.905-0.079</f>
        <v>11.803999999999998</v>
      </c>
      <c r="W9" s="14">
        <f>1.158-0.012+0.055</f>
        <v>1.2009999999999998</v>
      </c>
      <c r="X9" s="14">
        <f>0.976-0.018</f>
        <v>0.95799999999999996</v>
      </c>
      <c r="Y9" s="14">
        <f>1.023-0.167</f>
        <v>0.85599999999999987</v>
      </c>
      <c r="Z9" s="14">
        <f>8.743-0.078</f>
        <v>8.6650000000000009</v>
      </c>
      <c r="AA9" s="14">
        <v>9.1180000000000003</v>
      </c>
      <c r="AB9" s="14">
        <f>-0.012+8.796</f>
        <v>8.7839999999999989</v>
      </c>
      <c r="AC9" s="14">
        <f>10.445-1.44</f>
        <v>9.0050000000000008</v>
      </c>
      <c r="AD9" s="14">
        <f>-1.722+12.47</f>
        <v>10.748000000000001</v>
      </c>
      <c r="AE9" s="14">
        <f>-0.827+14.767</f>
        <v>13.94</v>
      </c>
      <c r="AF9" s="132">
        <f>AVERAGE(Z9:AC9)</f>
        <v>8.8930000000000007</v>
      </c>
      <c r="AG9" s="1">
        <v>2.9</v>
      </c>
      <c r="AH9" s="1">
        <v>3.9</v>
      </c>
      <c r="AI9" s="1">
        <v>4.9000000000000004</v>
      </c>
      <c r="AJ9" s="1">
        <v>5.9</v>
      </c>
      <c r="AK9" s="1">
        <v>6.9</v>
      </c>
      <c r="AL9" s="1">
        <v>7.9</v>
      </c>
      <c r="AM9" s="1">
        <v>8.9</v>
      </c>
      <c r="AN9" s="1">
        <v>9.9</v>
      </c>
      <c r="AO9" s="1">
        <v>10.9</v>
      </c>
      <c r="AP9" s="1">
        <v>11.9</v>
      </c>
      <c r="AQ9" s="1">
        <v>12.9</v>
      </c>
      <c r="AR9" s="1">
        <v>13.9</v>
      </c>
      <c r="AS9" s="1">
        <v>14.9</v>
      </c>
      <c r="AT9" s="1">
        <v>15.9</v>
      </c>
      <c r="AU9" s="1">
        <v>16.899999999999999</v>
      </c>
    </row>
    <row r="10" spans="1:105" x14ac:dyDescent="0.2">
      <c r="B10" s="1" t="s">
        <v>39</v>
      </c>
      <c r="E10" s="31"/>
      <c r="F10" s="14">
        <f>F8-F9</f>
        <v>16.384999999999991</v>
      </c>
      <c r="G10" s="31">
        <f t="shared" si="0"/>
        <v>11.20300000000001</v>
      </c>
      <c r="H10" s="27">
        <f t="shared" ref="H10:R10" si="17">H8-H9</f>
        <v>14.468000000000004</v>
      </c>
      <c r="I10" s="31">
        <f t="shared" si="17"/>
        <v>-13.272000000000006</v>
      </c>
      <c r="J10" s="14">
        <f t="shared" si="17"/>
        <v>-14.489000000000001</v>
      </c>
      <c r="K10" s="31">
        <f t="shared" si="17"/>
        <v>14.951000000000004</v>
      </c>
      <c r="L10" s="14">
        <f t="shared" si="17"/>
        <v>33.436999999999998</v>
      </c>
      <c r="M10" s="31">
        <f t="shared" si="17"/>
        <v>13.228000000000014</v>
      </c>
      <c r="N10" s="14">
        <f t="shared" si="17"/>
        <v>27.689000000000014</v>
      </c>
      <c r="O10" s="31">
        <f t="shared" si="17"/>
        <v>17.390999999999984</v>
      </c>
      <c r="P10" s="14">
        <f t="shared" si="17"/>
        <v>29.528000000000002</v>
      </c>
      <c r="Q10" s="31">
        <f t="shared" ref="Q10" si="18">Q8-Q9</f>
        <v>13.229999999999997</v>
      </c>
      <c r="R10" s="14">
        <f t="shared" si="17"/>
        <v>28.333999999999989</v>
      </c>
      <c r="S10" s="30">
        <f t="shared" si="16"/>
        <v>15.950000000000031</v>
      </c>
      <c r="T10" s="14">
        <f t="shared" ref="T10" si="19">T8-T9</f>
        <v>27.231999999999996</v>
      </c>
      <c r="V10" s="14">
        <f t="shared" ref="V10:AF10" si="20">V8-V9</f>
        <v>2.5739999999999874</v>
      </c>
      <c r="W10" s="14">
        <f t="shared" si="20"/>
        <v>20.999999999999993</v>
      </c>
      <c r="X10" s="14">
        <f t="shared" si="20"/>
        <v>23.933999999999997</v>
      </c>
      <c r="Y10" s="14">
        <f t="shared" si="20"/>
        <v>27.588000000000001</v>
      </c>
      <c r="Z10" s="14">
        <f t="shared" si="20"/>
        <v>1.1960000000000033</v>
      </c>
      <c r="AA10" s="14">
        <f t="shared" si="20"/>
        <v>0.46200000000000507</v>
      </c>
      <c r="AB10" s="14">
        <f t="shared" si="20"/>
        <v>46.665000000000013</v>
      </c>
      <c r="AC10" s="14">
        <f t="shared" si="20"/>
        <v>45.079999999999991</v>
      </c>
      <c r="AD10" s="14">
        <f t="shared" si="20"/>
        <v>42.757999999999981</v>
      </c>
      <c r="AE10" s="14">
        <f t="shared" si="20"/>
        <v>44.28400000000002</v>
      </c>
      <c r="AF10" s="44">
        <f t="shared" si="20"/>
        <v>66.742533584</v>
      </c>
      <c r="AG10" s="14">
        <f t="shared" ref="AG10:AU10" si="21">AG8-AG9</f>
        <v>56.791965187039999</v>
      </c>
      <c r="AH10" s="14">
        <f t="shared" si="21"/>
        <v>59.854946568314652</v>
      </c>
      <c r="AI10" s="14">
        <f t="shared" si="21"/>
        <v>62.687373709520976</v>
      </c>
      <c r="AJ10" s="14">
        <f t="shared" si="21"/>
        <v>65.087240757130758</v>
      </c>
      <c r="AK10" s="14">
        <f t="shared" si="21"/>
        <v>67.658964644587712</v>
      </c>
      <c r="AL10" s="14">
        <f t="shared" si="21"/>
        <v>70.411307621835761</v>
      </c>
      <c r="AM10" s="14">
        <f t="shared" si="21"/>
        <v>72.321059459340603</v>
      </c>
      <c r="AN10" s="14">
        <f t="shared" si="21"/>
        <v>74.496296516509375</v>
      </c>
      <c r="AO10" s="14">
        <f t="shared" si="21"/>
        <v>76.97733701096621</v>
      </c>
      <c r="AP10" s="14">
        <f t="shared" si="21"/>
        <v>77.72150836727036</v>
      </c>
      <c r="AQ10" s="14">
        <f t="shared" si="21"/>
        <v>78.509927000438466</v>
      </c>
      <c r="AR10" s="14">
        <f t="shared" si="21"/>
        <v>79.330391362018389</v>
      </c>
      <c r="AS10" s="14">
        <f t="shared" si="21"/>
        <v>80.181856926730745</v>
      </c>
      <c r="AT10" s="14">
        <f t="shared" si="21"/>
        <v>81.063863952507859</v>
      </c>
      <c r="AU10" s="14">
        <f t="shared" si="21"/>
        <v>81.975771826618455</v>
      </c>
    </row>
    <row r="11" spans="1:105" x14ac:dyDescent="0.2">
      <c r="B11" s="1" t="s">
        <v>40</v>
      </c>
      <c r="E11" s="31"/>
      <c r="F11" s="14">
        <v>3.01</v>
      </c>
      <c r="G11" s="31">
        <f t="shared" si="0"/>
        <v>2.2930000000000001</v>
      </c>
      <c r="H11" s="27">
        <v>2.948</v>
      </c>
      <c r="I11" s="31">
        <f>Z11-H11</f>
        <v>-3.137</v>
      </c>
      <c r="J11" s="14">
        <v>-2.8559999999999999</v>
      </c>
      <c r="K11" s="31">
        <f>AA11-J11</f>
        <v>1.5899999999999999</v>
      </c>
      <c r="L11" s="14">
        <v>6.4119999999999999</v>
      </c>
      <c r="M11" s="31">
        <f>AB11-L11</f>
        <v>2.8020000000000005</v>
      </c>
      <c r="N11" s="14">
        <v>5.7690000000000001</v>
      </c>
      <c r="O11" s="31">
        <f t="shared" si="7"/>
        <v>5.16</v>
      </c>
      <c r="P11" s="14">
        <v>7.5810000000000004</v>
      </c>
      <c r="Q11" s="31">
        <f>+AD11-P11</f>
        <v>5.2670000000000003</v>
      </c>
      <c r="R11" s="14">
        <v>7.7009999999999996</v>
      </c>
      <c r="S11" s="30">
        <f t="shared" si="16"/>
        <v>1.9740000000000011</v>
      </c>
      <c r="T11" s="14">
        <v>7.6859999999999999</v>
      </c>
      <c r="V11" s="14">
        <v>1.387</v>
      </c>
      <c r="W11" s="14">
        <v>2.8479999999999999</v>
      </c>
      <c r="X11" s="14">
        <v>5.15</v>
      </c>
      <c r="Y11" s="14">
        <v>5.3029999999999999</v>
      </c>
      <c r="Z11" s="14">
        <v>-0.189</v>
      </c>
      <c r="AA11" s="14">
        <v>-1.266</v>
      </c>
      <c r="AB11" s="14">
        <v>9.2140000000000004</v>
      </c>
      <c r="AC11" s="14">
        <v>10.929</v>
      </c>
      <c r="AD11" s="14">
        <v>12.848000000000001</v>
      </c>
      <c r="AE11" s="14">
        <v>9.6750000000000007</v>
      </c>
      <c r="AF11" s="132">
        <f>AF10-AF12</f>
        <v>13.348506716799996</v>
      </c>
      <c r="AG11" s="27">
        <f>AG10*(1-(1-AG19))</f>
        <v>11.358393037407998</v>
      </c>
      <c r="AH11" s="27">
        <f t="shared" ref="AH11:AU11" si="22">AH10*(1-(1-AH19))</f>
        <v>11.970989313662928</v>
      </c>
      <c r="AI11" s="27">
        <f t="shared" si="22"/>
        <v>12.537474741904193</v>
      </c>
      <c r="AJ11" s="27">
        <f t="shared" si="22"/>
        <v>13.017448151426148</v>
      </c>
      <c r="AK11" s="27">
        <f t="shared" si="22"/>
        <v>13.53179292891754</v>
      </c>
      <c r="AL11" s="27">
        <f t="shared" si="22"/>
        <v>14.08226152436715</v>
      </c>
      <c r="AM11" s="27">
        <f t="shared" si="22"/>
        <v>14.464211891868118</v>
      </c>
      <c r="AN11" s="27">
        <f t="shared" si="22"/>
        <v>14.899259303301871</v>
      </c>
      <c r="AO11" s="27">
        <f t="shared" si="22"/>
        <v>15.395467402193239</v>
      </c>
      <c r="AP11" s="27">
        <f t="shared" si="22"/>
        <v>15.544301673454068</v>
      </c>
      <c r="AQ11" s="27">
        <f t="shared" si="22"/>
        <v>15.70198540008769</v>
      </c>
      <c r="AR11" s="27">
        <f t="shared" si="22"/>
        <v>15.866078272403675</v>
      </c>
      <c r="AS11" s="27">
        <f t="shared" si="22"/>
        <v>16.036371385346147</v>
      </c>
      <c r="AT11" s="27">
        <f t="shared" si="22"/>
        <v>16.212772790501567</v>
      </c>
      <c r="AU11" s="27">
        <f t="shared" si="22"/>
        <v>16.395154365323688</v>
      </c>
    </row>
    <row r="12" spans="1:105" s="3" customFormat="1" x14ac:dyDescent="0.2">
      <c r="B12" s="3" t="s">
        <v>41</v>
      </c>
      <c r="E12" s="30"/>
      <c r="F12" s="12">
        <f>F10-F11</f>
        <v>13.374999999999991</v>
      </c>
      <c r="G12" s="30">
        <f t="shared" si="0"/>
        <v>8.910000000000009</v>
      </c>
      <c r="H12" s="36">
        <f t="shared" ref="H12:R12" si="23">H10-H11</f>
        <v>11.520000000000003</v>
      </c>
      <c r="I12" s="30">
        <f t="shared" si="23"/>
        <v>-10.135000000000005</v>
      </c>
      <c r="J12" s="12">
        <f t="shared" si="23"/>
        <v>-11.633000000000001</v>
      </c>
      <c r="K12" s="30">
        <f t="shared" si="23"/>
        <v>13.361000000000004</v>
      </c>
      <c r="L12" s="12">
        <f t="shared" si="23"/>
        <v>27.024999999999999</v>
      </c>
      <c r="M12" s="30">
        <f t="shared" si="23"/>
        <v>10.426000000000013</v>
      </c>
      <c r="N12" s="12">
        <f t="shared" si="23"/>
        <v>21.920000000000016</v>
      </c>
      <c r="O12" s="30">
        <f t="shared" si="23"/>
        <v>12.230999999999984</v>
      </c>
      <c r="P12" s="12">
        <f t="shared" si="23"/>
        <v>21.947000000000003</v>
      </c>
      <c r="Q12" s="30">
        <f t="shared" ref="Q12:T12" si="24">Q10-Q11</f>
        <v>7.9629999999999965</v>
      </c>
      <c r="R12" s="12">
        <f t="shared" si="23"/>
        <v>20.632999999999988</v>
      </c>
      <c r="S12" s="30">
        <f t="shared" si="24"/>
        <v>13.976000000000031</v>
      </c>
      <c r="T12" s="12">
        <f t="shared" si="24"/>
        <v>19.545999999999996</v>
      </c>
      <c r="U12" s="87"/>
      <c r="V12" s="12">
        <f t="shared" ref="V12:AE12" si="25">V10-V11</f>
        <v>1.1869999999999874</v>
      </c>
      <c r="W12" s="12">
        <f t="shared" si="25"/>
        <v>18.151999999999994</v>
      </c>
      <c r="X12" s="12">
        <f t="shared" si="25"/>
        <v>18.783999999999999</v>
      </c>
      <c r="Y12" s="12">
        <f t="shared" si="25"/>
        <v>22.285</v>
      </c>
      <c r="Z12" s="12">
        <f t="shared" si="25"/>
        <v>1.3850000000000033</v>
      </c>
      <c r="AA12" s="12">
        <f t="shared" si="25"/>
        <v>1.7280000000000051</v>
      </c>
      <c r="AB12" s="12">
        <f t="shared" si="25"/>
        <v>37.451000000000015</v>
      </c>
      <c r="AC12" s="12">
        <f t="shared" si="25"/>
        <v>34.150999999999989</v>
      </c>
      <c r="AD12" s="12">
        <f t="shared" si="25"/>
        <v>29.909999999999982</v>
      </c>
      <c r="AE12" s="12">
        <f t="shared" si="25"/>
        <v>34.609000000000023</v>
      </c>
      <c r="AF12" s="131">
        <f>AF10*(1-AF19)</f>
        <v>53.394026867200004</v>
      </c>
      <c r="AG12" s="12">
        <f t="shared" ref="AG12:AU12" si="26">AG10-AG11</f>
        <v>45.433572149631999</v>
      </c>
      <c r="AH12" s="12">
        <f t="shared" si="26"/>
        <v>47.883957254651726</v>
      </c>
      <c r="AI12" s="12">
        <f t="shared" si="26"/>
        <v>50.149898967616785</v>
      </c>
      <c r="AJ12" s="12">
        <f t="shared" si="26"/>
        <v>52.069792605704606</v>
      </c>
      <c r="AK12" s="12">
        <f t="shared" si="26"/>
        <v>54.127171715670173</v>
      </c>
      <c r="AL12" s="12">
        <f t="shared" si="26"/>
        <v>56.329046097468613</v>
      </c>
      <c r="AM12" s="12">
        <f t="shared" si="26"/>
        <v>57.856847567472485</v>
      </c>
      <c r="AN12" s="12">
        <f t="shared" si="26"/>
        <v>59.5970372132075</v>
      </c>
      <c r="AO12" s="12">
        <f t="shared" si="26"/>
        <v>61.581869608772969</v>
      </c>
      <c r="AP12" s="12">
        <f t="shared" si="26"/>
        <v>62.177206693816288</v>
      </c>
      <c r="AQ12" s="12">
        <f t="shared" si="26"/>
        <v>62.807941600350773</v>
      </c>
      <c r="AR12" s="12">
        <f t="shared" si="26"/>
        <v>63.464313089614713</v>
      </c>
      <c r="AS12" s="12">
        <f t="shared" si="26"/>
        <v>64.145485541384602</v>
      </c>
      <c r="AT12" s="12">
        <f t="shared" si="26"/>
        <v>64.851091162006298</v>
      </c>
      <c r="AU12" s="12">
        <f t="shared" si="26"/>
        <v>65.580617461294764</v>
      </c>
      <c r="AV12" s="12">
        <f t="shared" ref="AV12:CA12" si="27">AU12*(1+$AX$15)</f>
        <v>64.269005112068868</v>
      </c>
      <c r="AW12" s="12">
        <f t="shared" si="27"/>
        <v>62.983625009827492</v>
      </c>
      <c r="AX12" s="12">
        <f t="shared" si="27"/>
        <v>61.723952509630941</v>
      </c>
      <c r="AY12" s="12">
        <f t="shared" si="27"/>
        <v>60.489473459438322</v>
      </c>
      <c r="AZ12" s="12">
        <f t="shared" si="27"/>
        <v>59.279683990249552</v>
      </c>
      <c r="BA12" s="12">
        <f t="shared" si="27"/>
        <v>58.094090310444557</v>
      </c>
      <c r="BB12" s="12">
        <f t="shared" si="27"/>
        <v>56.932208504235668</v>
      </c>
      <c r="BC12" s="12">
        <f t="shared" si="27"/>
        <v>55.79356433415095</v>
      </c>
      <c r="BD12" s="12">
        <f t="shared" si="27"/>
        <v>54.677693047467933</v>
      </c>
      <c r="BE12" s="12">
        <f t="shared" si="27"/>
        <v>53.584139186518577</v>
      </c>
      <c r="BF12" s="12">
        <f t="shared" si="27"/>
        <v>52.512456402788203</v>
      </c>
      <c r="BG12" s="12">
        <f t="shared" si="27"/>
        <v>51.462207274732435</v>
      </c>
      <c r="BH12" s="12">
        <f t="shared" si="27"/>
        <v>50.432963129237784</v>
      </c>
      <c r="BI12" s="12">
        <f t="shared" si="27"/>
        <v>49.424303866653027</v>
      </c>
      <c r="BJ12" s="12">
        <f t="shared" si="27"/>
        <v>48.435817789319962</v>
      </c>
      <c r="BK12" s="12">
        <f t="shared" si="27"/>
        <v>47.467101433533564</v>
      </c>
      <c r="BL12" s="12">
        <f t="shared" si="27"/>
        <v>46.517759404862893</v>
      </c>
      <c r="BM12" s="12">
        <f t="shared" si="27"/>
        <v>45.587404216765634</v>
      </c>
      <c r="BN12" s="12">
        <f t="shared" si="27"/>
        <v>44.675656132430319</v>
      </c>
      <c r="BO12" s="12">
        <f t="shared" si="27"/>
        <v>43.782143009781713</v>
      </c>
      <c r="BP12" s="12">
        <f t="shared" si="27"/>
        <v>42.90650014958608</v>
      </c>
      <c r="BQ12" s="12">
        <f t="shared" si="27"/>
        <v>42.048370146594358</v>
      </c>
      <c r="BR12" s="12">
        <f t="shared" si="27"/>
        <v>41.20740274366247</v>
      </c>
      <c r="BS12" s="12">
        <f t="shared" si="27"/>
        <v>40.383254688789222</v>
      </c>
      <c r="BT12" s="12">
        <f t="shared" si="27"/>
        <v>39.57558959501344</v>
      </c>
      <c r="BU12" s="12">
        <f t="shared" si="27"/>
        <v>38.784077803113171</v>
      </c>
      <c r="BV12" s="12">
        <f t="shared" si="27"/>
        <v>38.008396247050904</v>
      </c>
      <c r="BW12" s="12">
        <f t="shared" si="27"/>
        <v>37.248228322109888</v>
      </c>
      <c r="BX12" s="12">
        <f t="shared" si="27"/>
        <v>36.503263755667689</v>
      </c>
      <c r="BY12" s="12">
        <f t="shared" si="27"/>
        <v>35.773198480554335</v>
      </c>
      <c r="BZ12" s="12">
        <f t="shared" si="27"/>
        <v>35.057734510943249</v>
      </c>
      <c r="CA12" s="12">
        <f t="shared" si="27"/>
        <v>34.356579820724384</v>
      </c>
      <c r="CB12" s="12">
        <f t="shared" ref="CB12:DA12" si="28">CA12*(1+$AX$15)</f>
        <v>33.669448224309896</v>
      </c>
      <c r="CC12" s="12">
        <f t="shared" si="28"/>
        <v>32.996059259823696</v>
      </c>
      <c r="CD12" s="12">
        <f t="shared" si="28"/>
        <v>32.336138074627222</v>
      </c>
      <c r="CE12" s="12">
        <f t="shared" si="28"/>
        <v>31.689415313134678</v>
      </c>
      <c r="CF12" s="12">
        <f t="shared" si="28"/>
        <v>31.055627006871983</v>
      </c>
      <c r="CG12" s="12">
        <f t="shared" si="28"/>
        <v>30.434514466734544</v>
      </c>
      <c r="CH12" s="12">
        <f t="shared" si="28"/>
        <v>29.825824177399852</v>
      </c>
      <c r="CI12" s="12">
        <f t="shared" si="28"/>
        <v>29.229307693851855</v>
      </c>
      <c r="CJ12" s="12">
        <f t="shared" si="28"/>
        <v>28.644721539974817</v>
      </c>
      <c r="CK12" s="12">
        <f t="shared" si="28"/>
        <v>28.07182710917532</v>
      </c>
      <c r="CL12" s="12">
        <f t="shared" si="28"/>
        <v>27.510390566991813</v>
      </c>
      <c r="CM12" s="12">
        <f t="shared" si="28"/>
        <v>26.960182755651974</v>
      </c>
      <c r="CN12" s="12">
        <f t="shared" si="28"/>
        <v>26.420979100538933</v>
      </c>
      <c r="CO12" s="12">
        <f t="shared" si="28"/>
        <v>25.892559518528152</v>
      </c>
      <c r="CP12" s="12">
        <f t="shared" si="28"/>
        <v>25.374708328157588</v>
      </c>
      <c r="CQ12" s="12">
        <f t="shared" si="28"/>
        <v>24.867214161594436</v>
      </c>
      <c r="CR12" s="12">
        <f t="shared" si="28"/>
        <v>24.369869878362547</v>
      </c>
      <c r="CS12" s="12">
        <f t="shared" si="28"/>
        <v>23.882472480795297</v>
      </c>
      <c r="CT12" s="12">
        <f t="shared" si="28"/>
        <v>23.40482303117939</v>
      </c>
      <c r="CU12" s="12">
        <f t="shared" si="28"/>
        <v>22.936726570555802</v>
      </c>
      <c r="CV12" s="12">
        <f t="shared" si="28"/>
        <v>22.477992039144684</v>
      </c>
      <c r="CW12" s="12">
        <f t="shared" si="28"/>
        <v>22.028432198361791</v>
      </c>
      <c r="CX12" s="12">
        <f t="shared" si="28"/>
        <v>21.587863554394556</v>
      </c>
      <c r="CY12" s="12">
        <f t="shared" si="28"/>
        <v>21.156106283306663</v>
      </c>
      <c r="CZ12" s="12">
        <f t="shared" si="28"/>
        <v>20.73298415764053</v>
      </c>
      <c r="DA12" s="12">
        <f t="shared" si="28"/>
        <v>20.318324474487721</v>
      </c>
    </row>
    <row r="13" spans="1:105" x14ac:dyDescent="0.2">
      <c r="B13" s="1" t="s">
        <v>42</v>
      </c>
      <c r="E13" s="33"/>
      <c r="F13" s="26">
        <f t="shared" ref="F13:M13" si="29">F12/F14</f>
        <v>8.8853291768992385E-2</v>
      </c>
      <c r="G13" s="33">
        <f t="shared" si="29"/>
        <v>5.9400000000000057E-2</v>
      </c>
      <c r="H13" s="26">
        <f t="shared" si="29"/>
        <v>7.6442866571663867E-2</v>
      </c>
      <c r="I13" s="33">
        <f t="shared" si="29"/>
        <v>-6.6068394484364051E-2</v>
      </c>
      <c r="J13" s="26">
        <f t="shared" si="29"/>
        <v>-7.3358228129837819E-2</v>
      </c>
      <c r="K13" s="33">
        <f t="shared" si="29"/>
        <v>8.116869753753031E-2</v>
      </c>
      <c r="L13" s="26">
        <f t="shared" si="29"/>
        <v>0.15819934224664817</v>
      </c>
      <c r="M13" s="33">
        <f t="shared" si="29"/>
        <v>6.0988847885565384E-2</v>
      </c>
      <c r="N13" s="26">
        <f t="shared" ref="N13:T13" si="30">N12/N14</f>
        <v>0.12802065599267592</v>
      </c>
      <c r="O13" s="33">
        <f t="shared" si="30"/>
        <v>7.1331079704337108E-2</v>
      </c>
      <c r="P13" s="26">
        <f t="shared" si="30"/>
        <v>0.12687408302518133</v>
      </c>
      <c r="Q13" s="33">
        <f t="shared" si="30"/>
        <v>4.6391481463693103E-2</v>
      </c>
      <c r="R13" s="26">
        <f t="shared" si="30"/>
        <v>0.12000146539859546</v>
      </c>
      <c r="S13" s="33">
        <f t="shared" si="30"/>
        <v>8.1908643461761396E-2</v>
      </c>
      <c r="T13" s="26">
        <f t="shared" si="30"/>
        <v>0.1169882199757523</v>
      </c>
      <c r="U13" s="26"/>
      <c r="V13" s="26">
        <f t="shared" ref="V13:AU13" si="31">V12/V14</f>
        <v>1.1214705682000902E-2</v>
      </c>
      <c r="W13" s="26">
        <f t="shared" si="31"/>
        <v>0.12101333333333329</v>
      </c>
      <c r="X13" s="26">
        <f t="shared" si="31"/>
        <v>0.12522666666666665</v>
      </c>
      <c r="Y13" s="26">
        <f t="shared" si="31"/>
        <v>0.14856666666666668</v>
      </c>
      <c r="Z13" s="26">
        <f t="shared" si="31"/>
        <v>9.0285867154261852E-3</v>
      </c>
      <c r="AA13" s="26">
        <f t="shared" si="31"/>
        <v>1.0497680513797826E-2</v>
      </c>
      <c r="AB13" s="26">
        <f t="shared" si="31"/>
        <v>0.21907666815291649</v>
      </c>
      <c r="AC13" s="26">
        <f t="shared" si="31"/>
        <v>0.19916831845170624</v>
      </c>
      <c r="AD13" s="26">
        <f t="shared" si="31"/>
        <v>0.17425206713287211</v>
      </c>
      <c r="AE13" s="26">
        <f t="shared" si="31"/>
        <v>0.20283172878993244</v>
      </c>
      <c r="AF13" s="43">
        <f t="shared" si="31"/>
        <v>0.31139347446650034</v>
      </c>
      <c r="AG13" s="27">
        <f t="shared" si="31"/>
        <v>0.26496817564043457</v>
      </c>
      <c r="AH13" s="27">
        <f t="shared" si="31"/>
        <v>0.27925879907535262</v>
      </c>
      <c r="AI13" s="27">
        <f t="shared" si="31"/>
        <v>0.29247375034122564</v>
      </c>
      <c r="AJ13" s="27">
        <f t="shared" si="31"/>
        <v>0.30367055241156266</v>
      </c>
      <c r="AK13" s="27">
        <f t="shared" si="31"/>
        <v>0.31566916849160453</v>
      </c>
      <c r="AL13" s="27">
        <f t="shared" si="31"/>
        <v>0.32851047967033092</v>
      </c>
      <c r="AM13" s="27">
        <f t="shared" si="31"/>
        <v>0.33742060381629202</v>
      </c>
      <c r="AN13" s="27">
        <f t="shared" si="31"/>
        <v>0.34756937385313175</v>
      </c>
      <c r="AO13" s="27">
        <f t="shared" si="31"/>
        <v>0.35914489816086054</v>
      </c>
      <c r="AP13" s="27">
        <f t="shared" si="31"/>
        <v>0.36261689857490459</v>
      </c>
      <c r="AQ13" s="27">
        <f t="shared" si="31"/>
        <v>0.36629533875888948</v>
      </c>
      <c r="AR13" s="27">
        <f t="shared" si="31"/>
        <v>0.37012329125797711</v>
      </c>
      <c r="AS13" s="27">
        <f t="shared" si="31"/>
        <v>0.37409588274269595</v>
      </c>
      <c r="AT13" s="27">
        <f t="shared" si="31"/>
        <v>0.37821096824383199</v>
      </c>
      <c r="AU13" s="27">
        <f t="shared" si="31"/>
        <v>0.38246555892333128</v>
      </c>
    </row>
    <row r="14" spans="1:105" ht="12.75" customHeight="1" x14ac:dyDescent="0.2">
      <c r="B14" s="1" t="s">
        <v>4</v>
      </c>
      <c r="E14" s="32"/>
      <c r="F14" s="27">
        <v>150.529032</v>
      </c>
      <c r="G14" s="32">
        <f>Y14</f>
        <v>150</v>
      </c>
      <c r="H14" s="27">
        <v>150.700785</v>
      </c>
      <c r="I14" s="32">
        <f>Z14</f>
        <v>153.40163899999999</v>
      </c>
      <c r="J14" s="27">
        <v>158.57798500000001</v>
      </c>
      <c r="K14" s="32">
        <f>AA14</f>
        <v>164.60779099999999</v>
      </c>
      <c r="L14" s="27">
        <v>170.828776</v>
      </c>
      <c r="M14" s="32">
        <f>AB14</f>
        <v>170.949286</v>
      </c>
      <c r="N14" s="27">
        <v>171.22236899999999</v>
      </c>
      <c r="O14" s="32">
        <f>+AC14</f>
        <v>171.46803399999999</v>
      </c>
      <c r="P14" s="14">
        <v>172.98253099999999</v>
      </c>
      <c r="Q14" s="32">
        <f>+AD14</f>
        <v>171.64789200000001</v>
      </c>
      <c r="R14" s="27">
        <v>171.93956700000001</v>
      </c>
      <c r="S14" s="32">
        <f>+AE14</f>
        <v>170.62912299999999</v>
      </c>
      <c r="T14" s="27">
        <v>167.076651</v>
      </c>
      <c r="V14" s="27">
        <v>105.84317</v>
      </c>
      <c r="W14" s="1">
        <v>150</v>
      </c>
      <c r="X14" s="1">
        <v>150</v>
      </c>
      <c r="Y14" s="1">
        <v>150</v>
      </c>
      <c r="Z14" s="27">
        <v>153.40163899999999</v>
      </c>
      <c r="AA14" s="27">
        <v>164.60779099999999</v>
      </c>
      <c r="AB14" s="27">
        <v>170.949286</v>
      </c>
      <c r="AC14" s="27">
        <v>171.46803399999999</v>
      </c>
      <c r="AD14" s="27">
        <v>171.64789200000001</v>
      </c>
      <c r="AE14" s="27">
        <v>170.62912299999999</v>
      </c>
      <c r="AF14" s="133">
        <f>+AC14</f>
        <v>171.46803399999999</v>
      </c>
      <c r="AG14" s="27">
        <f>AF14</f>
        <v>171.46803399999999</v>
      </c>
      <c r="AH14" s="27">
        <f t="shared" ref="AH14:AU14" si="32">AG14</f>
        <v>171.46803399999999</v>
      </c>
      <c r="AI14" s="27">
        <f t="shared" si="32"/>
        <v>171.46803399999999</v>
      </c>
      <c r="AJ14" s="27">
        <f t="shared" si="32"/>
        <v>171.46803399999999</v>
      </c>
      <c r="AK14" s="27">
        <f t="shared" si="32"/>
        <v>171.46803399999999</v>
      </c>
      <c r="AL14" s="27">
        <f t="shared" si="32"/>
        <v>171.46803399999999</v>
      </c>
      <c r="AM14" s="27">
        <f t="shared" si="32"/>
        <v>171.46803399999999</v>
      </c>
      <c r="AN14" s="27">
        <f t="shared" si="32"/>
        <v>171.46803399999999</v>
      </c>
      <c r="AO14" s="27">
        <f t="shared" si="32"/>
        <v>171.46803399999999</v>
      </c>
      <c r="AP14" s="27">
        <f t="shared" si="32"/>
        <v>171.46803399999999</v>
      </c>
      <c r="AQ14" s="27">
        <f t="shared" si="32"/>
        <v>171.46803399999999</v>
      </c>
      <c r="AR14" s="27">
        <f t="shared" si="32"/>
        <v>171.46803399999999</v>
      </c>
      <c r="AS14" s="27">
        <f t="shared" si="32"/>
        <v>171.46803399999999</v>
      </c>
      <c r="AT14" s="27">
        <f t="shared" si="32"/>
        <v>171.46803399999999</v>
      </c>
      <c r="AU14" s="27">
        <f t="shared" si="32"/>
        <v>171.46803399999999</v>
      </c>
    </row>
    <row r="15" spans="1:105" ht="12.75" customHeight="1" x14ac:dyDescent="0.25">
      <c r="AW15" s="45" t="s">
        <v>87</v>
      </c>
      <c r="AX15" s="62">
        <v>-0.02</v>
      </c>
    </row>
    <row r="16" spans="1:105" ht="12.75" customHeight="1" x14ac:dyDescent="0.25">
      <c r="B16" s="1" t="s">
        <v>43</v>
      </c>
      <c r="E16" s="34"/>
      <c r="F16" s="23">
        <f t="shared" ref="F16:L16" si="33">F5/F3</f>
        <v>0.85857590685176888</v>
      </c>
      <c r="G16" s="34">
        <f t="shared" si="33"/>
        <v>0.8558438255118912</v>
      </c>
      <c r="H16" s="23">
        <f t="shared" si="33"/>
        <v>0.85590062111801246</v>
      </c>
      <c r="I16" s="34">
        <f t="shared" si="33"/>
        <v>0.84701747534901894</v>
      </c>
      <c r="J16" s="23">
        <f t="shared" si="33"/>
        <v>0.88574714847119718</v>
      </c>
      <c r="K16" s="34">
        <f t="shared" si="33"/>
        <v>0.85246968833916514</v>
      </c>
      <c r="L16" s="23">
        <f t="shared" si="33"/>
        <v>0.86382558174358359</v>
      </c>
      <c r="M16" s="34">
        <f t="shared" ref="M16:N16" si="34">M5/M3</f>
        <v>0.83166253419972636</v>
      </c>
      <c r="N16" s="23">
        <f t="shared" si="34"/>
        <v>0.82760876676480211</v>
      </c>
      <c r="O16" s="34">
        <f t="shared" ref="O16:P16" si="35">O5/O3</f>
        <v>0.43600875940207556</v>
      </c>
      <c r="P16" s="23">
        <f t="shared" si="35"/>
        <v>0.64682389857954314</v>
      </c>
      <c r="Q16" s="34">
        <f t="shared" ref="Q16:R16" si="36">Q5/Q3</f>
        <v>0.61508650145667731</v>
      </c>
      <c r="R16" s="23">
        <f t="shared" si="36"/>
        <v>0.63776122058971441</v>
      </c>
      <c r="S16" s="34">
        <f t="shared" ref="S16:T16" si="37">S5/S3</f>
        <v>0.61392107929134443</v>
      </c>
      <c r="T16" s="23">
        <f t="shared" si="37"/>
        <v>0.62765739478165028</v>
      </c>
      <c r="V16" s="23">
        <f t="shared" ref="V16:W16" si="38">V5/V3</f>
        <v>0.85328664255794195</v>
      </c>
      <c r="W16" s="23">
        <f t="shared" si="38"/>
        <v>0.86532184472834472</v>
      </c>
      <c r="X16" s="23">
        <f t="shared" ref="X16:Y16" si="39">X5/X3</f>
        <v>0.8610677904237316</v>
      </c>
      <c r="Y16" s="23">
        <f t="shared" si="39"/>
        <v>0.85725283692857257</v>
      </c>
      <c r="Z16" s="23">
        <f>Z5/Z3</f>
        <v>0.85475570319479577</v>
      </c>
      <c r="AA16" s="23">
        <f>AA5/AA3</f>
        <v>0.85729986922284984</v>
      </c>
      <c r="AB16" s="23">
        <f t="shared" ref="AB16:AC16" si="40">AB5/AB3</f>
        <v>0.84829230777171583</v>
      </c>
      <c r="AC16" s="23">
        <f t="shared" si="40"/>
        <v>0.6363805432346733</v>
      </c>
      <c r="AD16" s="23">
        <f t="shared" ref="AD16:AE16" si="41">AD5/AD3</f>
        <v>0.63150447701595924</v>
      </c>
      <c r="AE16" s="23">
        <f t="shared" si="41"/>
        <v>0.62621378589495025</v>
      </c>
      <c r="AF16" s="134">
        <f>AF5/AF3</f>
        <v>0.84000000000000008</v>
      </c>
      <c r="AG16" s="23">
        <f t="shared" ref="AG16:AU16" si="42">AG5/AG3</f>
        <v>0.62</v>
      </c>
      <c r="AH16" s="23">
        <f t="shared" si="42"/>
        <v>0.62</v>
      </c>
      <c r="AI16" s="23">
        <f t="shared" si="42"/>
        <v>0.62000000000000011</v>
      </c>
      <c r="AJ16" s="23">
        <f t="shared" si="42"/>
        <v>0.62</v>
      </c>
      <c r="AK16" s="23">
        <f t="shared" si="42"/>
        <v>0.62</v>
      </c>
      <c r="AL16" s="23">
        <f t="shared" si="42"/>
        <v>0.62</v>
      </c>
      <c r="AM16" s="23">
        <f t="shared" si="42"/>
        <v>0.62</v>
      </c>
      <c r="AN16" s="23">
        <f t="shared" si="42"/>
        <v>0.62</v>
      </c>
      <c r="AO16" s="23">
        <f t="shared" si="42"/>
        <v>0.62</v>
      </c>
      <c r="AP16" s="23">
        <f t="shared" si="42"/>
        <v>0.62</v>
      </c>
      <c r="AQ16" s="23">
        <f t="shared" si="42"/>
        <v>0.62</v>
      </c>
      <c r="AR16" s="23">
        <f t="shared" si="42"/>
        <v>0.62</v>
      </c>
      <c r="AS16" s="23">
        <f t="shared" si="42"/>
        <v>0.62</v>
      </c>
      <c r="AT16" s="23">
        <f t="shared" si="42"/>
        <v>0.62000000000000011</v>
      </c>
      <c r="AU16" s="23">
        <f t="shared" si="42"/>
        <v>0.62</v>
      </c>
      <c r="AW16" s="46" t="s">
        <v>88</v>
      </c>
      <c r="AX16" s="63">
        <v>0.08</v>
      </c>
    </row>
    <row r="17" spans="1:51" ht="12.75" customHeight="1" x14ac:dyDescent="0.25">
      <c r="B17" s="1" t="s">
        <v>44</v>
      </c>
      <c r="E17" s="34"/>
      <c r="F17" s="23">
        <f t="shared" ref="F17:L17" si="43">F8/F3</f>
        <v>0.25023137781758459</v>
      </c>
      <c r="G17" s="34">
        <f t="shared" si="43"/>
        <v>0.18569566323286293</v>
      </c>
      <c r="H17" s="23">
        <f t="shared" si="43"/>
        <v>0.27698974433049256</v>
      </c>
      <c r="I17" s="34">
        <f t="shared" si="43"/>
        <v>-0.90940154251684147</v>
      </c>
      <c r="J17" s="23">
        <f t="shared" si="43"/>
        <v>-0.96060577015240112</v>
      </c>
      <c r="K17" s="34">
        <f t="shared" si="43"/>
        <v>0.31901700707950204</v>
      </c>
      <c r="L17" s="23">
        <f t="shared" si="43"/>
        <v>0.37551036706497759</v>
      </c>
      <c r="M17" s="34">
        <f t="shared" ref="M17:N17" si="44">M8/M3</f>
        <v>0.19058866279069778</v>
      </c>
      <c r="N17" s="23">
        <f t="shared" si="44"/>
        <v>0.29209828081270683</v>
      </c>
      <c r="O17" s="34">
        <f t="shared" ref="O17:P17" si="45">O8/O3</f>
        <v>0.20888317623536121</v>
      </c>
      <c r="P17" s="23">
        <f t="shared" si="45"/>
        <v>0.28835359561025953</v>
      </c>
      <c r="Q17" s="34">
        <f t="shared" ref="Q17:R17" si="46">Q8/Q3</f>
        <v>0.17208574614250258</v>
      </c>
      <c r="R17" s="23">
        <f t="shared" si="46"/>
        <v>0.26992858745522202</v>
      </c>
      <c r="S17" s="34">
        <f t="shared" ref="S17:T17" si="47">S8/S3</f>
        <v>0.19220347079802008</v>
      </c>
      <c r="T17" s="23">
        <f t="shared" si="47"/>
        <v>0.24516211079631761</v>
      </c>
      <c r="V17" s="23">
        <f t="shared" ref="V17:W17" si="48">V8/V3</f>
        <v>0.13719072927301687</v>
      </c>
      <c r="W17" s="23">
        <f t="shared" si="48"/>
        <v>0.19480029481959843</v>
      </c>
      <c r="X17" s="23">
        <f t="shared" ref="X17:Y17" si="49">X8/X3</f>
        <v>0.20649036068619966</v>
      </c>
      <c r="Y17" s="23">
        <f t="shared" si="49"/>
        <v>0.2189785517421898</v>
      </c>
      <c r="Z17" s="23">
        <f>Z8/Z3</f>
        <v>0.12407987618436456</v>
      </c>
      <c r="AA17" s="23">
        <f>AA8/AA3</f>
        <v>0.13328139347227252</v>
      </c>
      <c r="AB17" s="23">
        <f t="shared" ref="AB17:AU17" si="50">AB8/AB3</f>
        <v>0.28620168162650139</v>
      </c>
      <c r="AC17" s="23">
        <f t="shared" ref="AC17:AD17" si="51">AC8/AC3</f>
        <v>0.25146223300880594</v>
      </c>
      <c r="AD17" s="23">
        <f t="shared" si="51"/>
        <v>0.23223191072877913</v>
      </c>
      <c r="AE17" s="23">
        <f t="shared" ref="AE17" si="52">AE8/AE3</f>
        <v>0.23228092012351301</v>
      </c>
      <c r="AF17" s="134">
        <f>AF8/AF3</f>
        <v>0.31680996246057758</v>
      </c>
      <c r="AG17" s="23">
        <f t="shared" si="50"/>
        <v>0.23150750606723611</v>
      </c>
      <c r="AH17" s="23">
        <f t="shared" si="50"/>
        <v>0.23108901844915528</v>
      </c>
      <c r="AI17" s="23">
        <f t="shared" si="50"/>
        <v>0.23111340049977061</v>
      </c>
      <c r="AJ17" s="23">
        <f t="shared" si="50"/>
        <v>0.23118015636339806</v>
      </c>
      <c r="AK17" s="23">
        <f t="shared" si="50"/>
        <v>0.23124951310482905</v>
      </c>
      <c r="AL17" s="23">
        <f t="shared" si="50"/>
        <v>0.23132157205696524</v>
      </c>
      <c r="AM17" s="23">
        <f t="shared" si="50"/>
        <v>0.23068904450352368</v>
      </c>
      <c r="AN17" s="23">
        <f t="shared" si="50"/>
        <v>0.23048802685286099</v>
      </c>
      <c r="AO17" s="23">
        <f t="shared" si="50"/>
        <v>0.23076425024603706</v>
      </c>
      <c r="AP17" s="23">
        <f t="shared" si="50"/>
        <v>0.23072981543325249</v>
      </c>
      <c r="AQ17" s="23">
        <f t="shared" si="50"/>
        <v>0.23071969027558867</v>
      </c>
      <c r="AR17" s="23">
        <f t="shared" si="50"/>
        <v>0.2307005518894264</v>
      </c>
      <c r="AS17" s="23">
        <f t="shared" si="50"/>
        <v>0.2306686687489444</v>
      </c>
      <c r="AT17" s="23">
        <f t="shared" si="50"/>
        <v>0.23062197985594454</v>
      </c>
      <c r="AU17" s="23">
        <f t="shared" si="50"/>
        <v>0.23055815997847612</v>
      </c>
      <c r="AW17" s="46" t="s">
        <v>89</v>
      </c>
      <c r="AX17" s="64">
        <f>NPV(AX16,AG12:DA12)</f>
        <v>679.46155503460454</v>
      </c>
    </row>
    <row r="18" spans="1:51" ht="12.75" customHeight="1" x14ac:dyDescent="0.25">
      <c r="A18" s="3"/>
      <c r="B18" s="1" t="s">
        <v>45</v>
      </c>
      <c r="E18" s="34"/>
      <c r="F18" s="23">
        <f t="shared" ref="F18:L18" si="53">F12/F3</f>
        <v>0.19965666517390643</v>
      </c>
      <c r="G18" s="34">
        <f t="shared" si="53"/>
        <v>0.14164441053033205</v>
      </c>
      <c r="H18" s="23">
        <f t="shared" si="53"/>
        <v>0.16640184890943235</v>
      </c>
      <c r="I18" s="34">
        <f t="shared" si="53"/>
        <v>-0.98945621399980577</v>
      </c>
      <c r="J18" s="23">
        <f t="shared" si="53"/>
        <v>-1.1150196491900701</v>
      </c>
      <c r="K18" s="34">
        <f t="shared" si="53"/>
        <v>0.21744649686711701</v>
      </c>
      <c r="L18" s="23">
        <f t="shared" si="53"/>
        <v>0.26978327493436355</v>
      </c>
      <c r="M18" s="34">
        <f t="shared" ref="M18:N18" si="54">M12/M3</f>
        <v>0.11142698358413144</v>
      </c>
      <c r="N18" s="23">
        <f t="shared" si="54"/>
        <v>0.1991785701304839</v>
      </c>
      <c r="O18" s="34">
        <f t="shared" ref="O18:P18" si="55">O12/O3</f>
        <v>0.1164524421593829</v>
      </c>
      <c r="P18" s="23">
        <f t="shared" si="55"/>
        <v>0.18413920981315079</v>
      </c>
      <c r="Q18" s="34">
        <f t="shared" ref="Q18:R18" si="56">Q12/Q3</f>
        <v>7.160198539725926E-2</v>
      </c>
      <c r="R18" s="23">
        <f t="shared" si="56"/>
        <v>0.15963759874351049</v>
      </c>
      <c r="S18" s="34">
        <f t="shared" ref="S18:T18" si="57">S12/S3</f>
        <v>0.11511123191091588</v>
      </c>
      <c r="T18" s="23">
        <f t="shared" si="57"/>
        <v>0.13809621376440415</v>
      </c>
      <c r="V18" s="23">
        <f t="shared" ref="V18:W18" si="58">V12/V3</f>
        <v>1.1326011659971446E-2</v>
      </c>
      <c r="W18" s="23">
        <f t="shared" si="58"/>
        <v>0.15927277832373993</v>
      </c>
      <c r="X18" s="23">
        <f t="shared" ref="X18:Y18" si="59">X12/X3</f>
        <v>0.15582174735375118</v>
      </c>
      <c r="Y18" s="23">
        <f t="shared" si="59"/>
        <v>0.17156296672671562</v>
      </c>
      <c r="Z18" s="23">
        <f>Z12/Z3</f>
        <v>1.7427302354258722E-2</v>
      </c>
      <c r="AA18" s="23">
        <f>AA12/AA3</f>
        <v>2.4040735691032097E-2</v>
      </c>
      <c r="AB18" s="23">
        <f t="shared" ref="AB18:AF18" si="60">AB12/AB3</f>
        <v>0.19330446317506367</v>
      </c>
      <c r="AC18" s="23">
        <f t="shared" ref="AC18:AD18" si="61">AC12/AC3</f>
        <v>0.15878130201504537</v>
      </c>
      <c r="AD18" s="23">
        <f t="shared" si="61"/>
        <v>0.12981827178069341</v>
      </c>
      <c r="AE18" s="23">
        <f t="shared" ref="AE18" si="62">AE12/AE3</f>
        <v>0.13807038960831727</v>
      </c>
      <c r="AF18" s="42">
        <f t="shared" si="60"/>
        <v>0.22364831509557931</v>
      </c>
      <c r="AG18" s="23">
        <f t="shared" ref="AG18:AU18" si="63">AG12/AG3</f>
        <v>0.17620818726823889</v>
      </c>
      <c r="AH18" s="23">
        <f t="shared" si="63"/>
        <v>0.17356232382034742</v>
      </c>
      <c r="AI18" s="23">
        <f t="shared" si="63"/>
        <v>0.17148637458438681</v>
      </c>
      <c r="AJ18" s="23">
        <f t="shared" si="63"/>
        <v>0.16957276642968144</v>
      </c>
      <c r="AK18" s="23">
        <f t="shared" si="63"/>
        <v>0.1678789688759286</v>
      </c>
      <c r="AL18" s="23">
        <f t="shared" si="63"/>
        <v>0.16638878715520866</v>
      </c>
      <c r="AM18" s="23">
        <f t="shared" si="63"/>
        <v>0.16432857404436771</v>
      </c>
      <c r="AN18" s="23">
        <f t="shared" si="63"/>
        <v>0.16276073809544056</v>
      </c>
      <c r="AO18" s="23">
        <f t="shared" si="63"/>
        <v>0.16171284260974284</v>
      </c>
      <c r="AP18" s="23">
        <f t="shared" si="63"/>
        <v>0.16007469284972009</v>
      </c>
      <c r="AQ18" s="23">
        <f t="shared" si="63"/>
        <v>0.15852795542447684</v>
      </c>
      <c r="AR18" s="23">
        <f t="shared" si="63"/>
        <v>0.15704376910963216</v>
      </c>
      <c r="AS18" s="23">
        <f t="shared" si="63"/>
        <v>0.15561700448790969</v>
      </c>
      <c r="AT18" s="23">
        <f t="shared" si="63"/>
        <v>0.15424392582916882</v>
      </c>
      <c r="AU18" s="23">
        <f t="shared" si="63"/>
        <v>0.15292064185999032</v>
      </c>
      <c r="AW18" s="46" t="s">
        <v>8</v>
      </c>
      <c r="AX18" s="64">
        <f>Main!C11</f>
        <v>25.994</v>
      </c>
    </row>
    <row r="19" spans="1:51" ht="12.75" customHeight="1" x14ac:dyDescent="0.25">
      <c r="B19" s="1" t="s">
        <v>137</v>
      </c>
      <c r="E19" s="34"/>
      <c r="F19" s="23">
        <f t="shared" ref="F19:L19" si="64">F11/F10</f>
        <v>0.1837046078730547</v>
      </c>
      <c r="G19" s="34">
        <f t="shared" si="64"/>
        <v>0.20467731857538143</v>
      </c>
      <c r="H19" s="23">
        <f t="shared" si="64"/>
        <v>0.20376002211777711</v>
      </c>
      <c r="I19" s="34">
        <f t="shared" si="64"/>
        <v>0.23636226642555747</v>
      </c>
      <c r="J19" s="23">
        <f t="shared" si="64"/>
        <v>0.19711505279867483</v>
      </c>
      <c r="K19" s="34">
        <f t="shared" si="64"/>
        <v>0.10634740151160453</v>
      </c>
      <c r="L19" s="23">
        <f t="shared" si="64"/>
        <v>0.19176361515686216</v>
      </c>
      <c r="M19" s="34">
        <f t="shared" ref="M19:N19" si="65">M11/M10</f>
        <v>0.21182340489869955</v>
      </c>
      <c r="N19" s="23">
        <f t="shared" si="65"/>
        <v>0.20834988623641146</v>
      </c>
      <c r="O19" s="34">
        <f t="shared" ref="O19:P19" si="66">O11/O10</f>
        <v>0.29670519234086623</v>
      </c>
      <c r="P19" s="23">
        <f t="shared" si="66"/>
        <v>0.25673936602546737</v>
      </c>
      <c r="Q19" s="34">
        <f t="shared" ref="Q19:R19" si="67">Q11/Q10</f>
        <v>0.39811035525321253</v>
      </c>
      <c r="R19" s="23">
        <f t="shared" si="67"/>
        <v>0.2717936048563564</v>
      </c>
      <c r="S19" s="34">
        <f t="shared" ref="S19:T19" si="68">S11/S10</f>
        <v>0.12376175548589324</v>
      </c>
      <c r="T19" s="23">
        <f t="shared" si="68"/>
        <v>0.28224148061104587</v>
      </c>
      <c r="V19" s="23">
        <f>V11/V10</f>
        <v>0.53885003885004146</v>
      </c>
      <c r="W19" s="23">
        <f t="shared" ref="W19:AA19" si="69">W11/W10</f>
        <v>0.13561904761904767</v>
      </c>
      <c r="X19" s="23">
        <f t="shared" si="69"/>
        <v>0.21517506476142731</v>
      </c>
      <c r="Y19" s="23">
        <f t="shared" si="69"/>
        <v>0.1922212556183848</v>
      </c>
      <c r="Z19" s="23">
        <f t="shared" si="69"/>
        <v>-0.15802675585284237</v>
      </c>
      <c r="AA19" s="23">
        <f t="shared" si="69"/>
        <v>-2.7402597402597104</v>
      </c>
      <c r="AB19" s="23">
        <f t="shared" ref="AB19:AC19" si="70">AB11/AB10</f>
        <v>0.19744990892531872</v>
      </c>
      <c r="AC19" s="23">
        <f t="shared" si="70"/>
        <v>0.24243566992014201</v>
      </c>
      <c r="AD19" s="23">
        <f t="shared" ref="AD19:AE19" si="71">AD11/AD10</f>
        <v>0.30048178118714641</v>
      </c>
      <c r="AE19" s="23">
        <f t="shared" si="71"/>
        <v>0.21847619907867394</v>
      </c>
      <c r="AF19" s="134">
        <v>0.2</v>
      </c>
      <c r="AG19" s="23">
        <f>AF19</f>
        <v>0.2</v>
      </c>
      <c r="AH19" s="23">
        <f t="shared" ref="AH19:AU19" si="72">AG19</f>
        <v>0.2</v>
      </c>
      <c r="AI19" s="23">
        <f t="shared" si="72"/>
        <v>0.2</v>
      </c>
      <c r="AJ19" s="23">
        <f t="shared" si="72"/>
        <v>0.2</v>
      </c>
      <c r="AK19" s="23">
        <f t="shared" si="72"/>
        <v>0.2</v>
      </c>
      <c r="AL19" s="23">
        <f t="shared" si="72"/>
        <v>0.2</v>
      </c>
      <c r="AM19" s="23">
        <f t="shared" si="72"/>
        <v>0.2</v>
      </c>
      <c r="AN19" s="23">
        <f t="shared" si="72"/>
        <v>0.2</v>
      </c>
      <c r="AO19" s="23">
        <f t="shared" si="72"/>
        <v>0.2</v>
      </c>
      <c r="AP19" s="23">
        <f t="shared" si="72"/>
        <v>0.2</v>
      </c>
      <c r="AQ19" s="23">
        <f t="shared" si="72"/>
        <v>0.2</v>
      </c>
      <c r="AR19" s="23">
        <f t="shared" si="72"/>
        <v>0.2</v>
      </c>
      <c r="AS19" s="23">
        <f t="shared" si="72"/>
        <v>0.2</v>
      </c>
      <c r="AT19" s="23">
        <f t="shared" si="72"/>
        <v>0.2</v>
      </c>
      <c r="AU19" s="23">
        <f t="shared" si="72"/>
        <v>0.2</v>
      </c>
      <c r="AW19" s="46" t="s">
        <v>90</v>
      </c>
      <c r="AX19" s="64">
        <f>AX17+AX18</f>
        <v>705.45555503460457</v>
      </c>
    </row>
    <row r="20" spans="1:51" ht="12.75" customHeight="1" x14ac:dyDescent="0.25">
      <c r="AW20" s="47" t="s">
        <v>91</v>
      </c>
      <c r="AX20" s="65">
        <f>AX19/Main!C7</f>
        <v>4.2223467540931532</v>
      </c>
    </row>
    <row r="21" spans="1:51" ht="12.75" customHeight="1" x14ac:dyDescent="0.25">
      <c r="B21" s="1" t="s">
        <v>46</v>
      </c>
      <c r="E21" s="37"/>
      <c r="F21" s="38" t="s">
        <v>71</v>
      </c>
      <c r="G21" s="37" t="s">
        <v>71</v>
      </c>
      <c r="H21" s="23">
        <f t="shared" ref="H21:T21" si="73">H3/F3-1</f>
        <v>3.3437826541274918E-2</v>
      </c>
      <c r="I21" s="34">
        <f t="shared" si="73"/>
        <v>-0.8371645682309552</v>
      </c>
      <c r="J21" s="23">
        <f t="shared" si="73"/>
        <v>-0.84929943666040741</v>
      </c>
      <c r="K21" s="34">
        <f t="shared" si="73"/>
        <v>4.9987308405740531</v>
      </c>
      <c r="L21" s="23">
        <f t="shared" si="73"/>
        <v>8.6015527652640671</v>
      </c>
      <c r="M21" s="34">
        <f t="shared" si="73"/>
        <v>0.5227927414761171</v>
      </c>
      <c r="N21" s="23">
        <f t="shared" si="73"/>
        <v>9.8619388457967805E-2</v>
      </c>
      <c r="O21" s="34">
        <f t="shared" si="73"/>
        <v>0.12249914500683956</v>
      </c>
      <c r="P21" s="23">
        <f t="shared" si="73"/>
        <v>8.3006215243702997E-2</v>
      </c>
      <c r="Q21" s="34">
        <f t="shared" si="73"/>
        <v>5.8859373512329949E-2</v>
      </c>
      <c r="R21" s="23">
        <f t="shared" si="73"/>
        <v>8.4421958770671379E-2</v>
      </c>
      <c r="S21" s="34">
        <f t="shared" si="73"/>
        <v>9.1725713052548397E-2</v>
      </c>
      <c r="T21" s="23">
        <f t="shared" si="73"/>
        <v>9.5087776307746896E-2</v>
      </c>
      <c r="V21" s="38" t="s">
        <v>71</v>
      </c>
      <c r="W21" s="23">
        <f t="shared" ref="W21:Z21" si="74">W3/V3-1</f>
        <v>8.744978674274595E-2</v>
      </c>
      <c r="X21" s="23">
        <f t="shared" si="74"/>
        <v>5.7735504703074536E-2</v>
      </c>
      <c r="Y21" s="23">
        <f t="shared" si="74"/>
        <v>7.7529282941235067E-2</v>
      </c>
      <c r="Z21" s="23">
        <f t="shared" si="74"/>
        <v>-0.38817035428888169</v>
      </c>
      <c r="AA21" s="23">
        <f>AA3/Z3-1</f>
        <v>-9.5567047928227233E-2</v>
      </c>
      <c r="AB21" s="23">
        <f t="shared" ref="AB21" si="75">AB3/AA3-1</f>
        <v>1.6954144522663404</v>
      </c>
      <c r="AC21" s="23">
        <f t="shared" ref="AC21:AD21" si="76">AC3/AB3-1</f>
        <v>0.11015221352217641</v>
      </c>
      <c r="AD21" s="23">
        <f t="shared" si="76"/>
        <v>7.1214699509954293E-2</v>
      </c>
      <c r="AE21" s="23">
        <f t="shared" ref="AE21" si="77">AE3/AD3-1</f>
        <v>8.7947430327388609E-2</v>
      </c>
      <c r="AF21" s="134">
        <v>0.11</v>
      </c>
      <c r="AG21" s="23">
        <v>0.08</v>
      </c>
      <c r="AH21" s="23">
        <v>7.0000000000000007E-2</v>
      </c>
      <c r="AI21" s="23">
        <v>0.06</v>
      </c>
      <c r="AJ21" s="23">
        <v>0.05</v>
      </c>
      <c r="AK21" s="23">
        <v>0.05</v>
      </c>
      <c r="AL21" s="23">
        <v>0.05</v>
      </c>
      <c r="AM21" s="23">
        <v>0.04</v>
      </c>
      <c r="AN21" s="23">
        <v>0.04</v>
      </c>
      <c r="AO21" s="23">
        <v>0.04</v>
      </c>
      <c r="AP21" s="23">
        <v>0.02</v>
      </c>
      <c r="AQ21" s="23">
        <v>0.02</v>
      </c>
      <c r="AR21" s="23">
        <v>0.02</v>
      </c>
      <c r="AS21" s="23">
        <v>0.02</v>
      </c>
      <c r="AT21" s="23">
        <v>0.02</v>
      </c>
      <c r="AU21" s="23">
        <v>0.02</v>
      </c>
      <c r="AW21" s="46" t="s">
        <v>92</v>
      </c>
      <c r="AX21" s="66">
        <f>Main!C6</f>
        <v>3.04</v>
      </c>
      <c r="AY21" s="49"/>
    </row>
    <row r="22" spans="1:51" ht="12.75" customHeight="1" x14ac:dyDescent="0.25">
      <c r="B22" s="1" t="s">
        <v>47</v>
      </c>
      <c r="E22" s="34"/>
      <c r="F22" s="38" t="s">
        <v>71</v>
      </c>
      <c r="G22" s="34">
        <f t="shared" ref="G22" si="78">G3/F3-1</f>
        <v>-6.0994178235557306E-2</v>
      </c>
      <c r="H22" s="23">
        <f t="shared" ref="H22:T22" si="79">H3/G3-1</f>
        <v>0.10056594175251155</v>
      </c>
      <c r="I22" s="34">
        <f t="shared" si="79"/>
        <v>-0.85204391159901782</v>
      </c>
      <c r="J22" s="23">
        <f t="shared" si="79"/>
        <v>1.8549253148492095E-2</v>
      </c>
      <c r="K22" s="34">
        <f t="shared" si="79"/>
        <v>4.8894852870698742</v>
      </c>
      <c r="L22" s="23">
        <f t="shared" si="79"/>
        <v>0.63028724875905273</v>
      </c>
      <c r="M22" s="34">
        <f t="shared" si="79"/>
        <v>-6.5935930839647328E-2</v>
      </c>
      <c r="N22" s="23">
        <f t="shared" si="79"/>
        <v>0.17617134062927486</v>
      </c>
      <c r="O22" s="34">
        <f t="shared" si="79"/>
        <v>-4.563297350343487E-2</v>
      </c>
      <c r="P22" s="23">
        <f t="shared" si="79"/>
        <v>0.1347900599828622</v>
      </c>
      <c r="Q22" s="34">
        <f t="shared" si="79"/>
        <v>-6.6911659828672532E-2</v>
      </c>
      <c r="R22" s="23">
        <f t="shared" si="79"/>
        <v>0.16218573535229996</v>
      </c>
      <c r="S22" s="34">
        <f t="shared" si="79"/>
        <v>-6.0627161525427575E-2</v>
      </c>
      <c r="T22" s="23">
        <f t="shared" si="79"/>
        <v>0.16576478630789104</v>
      </c>
      <c r="V22" s="38" t="s">
        <v>71</v>
      </c>
      <c r="W22" s="38" t="s">
        <v>71</v>
      </c>
      <c r="X22" s="38" t="s">
        <v>71</v>
      </c>
      <c r="Y22" s="38" t="s">
        <v>71</v>
      </c>
      <c r="Z22" s="38" t="s">
        <v>71</v>
      </c>
      <c r="AA22" s="38" t="s">
        <v>71</v>
      </c>
      <c r="AB22" s="38" t="s">
        <v>71</v>
      </c>
      <c r="AC22" s="38" t="s">
        <v>71</v>
      </c>
      <c r="AD22" s="38" t="s">
        <v>71</v>
      </c>
      <c r="AE22" s="38" t="s">
        <v>71</v>
      </c>
      <c r="AF22" s="135"/>
      <c r="AG22" s="38" t="s">
        <v>71</v>
      </c>
      <c r="AH22" s="38" t="s">
        <v>71</v>
      </c>
      <c r="AI22" s="38" t="s">
        <v>71</v>
      </c>
      <c r="AJ22" s="38" t="s">
        <v>71</v>
      </c>
      <c r="AK22" s="38" t="s">
        <v>71</v>
      </c>
      <c r="AL22" s="38" t="s">
        <v>71</v>
      </c>
      <c r="AM22" s="38" t="s">
        <v>71</v>
      </c>
      <c r="AN22" s="38" t="s">
        <v>71</v>
      </c>
      <c r="AO22" s="38" t="s">
        <v>71</v>
      </c>
      <c r="AP22" s="38" t="s">
        <v>71</v>
      </c>
      <c r="AQ22" s="38" t="s">
        <v>71</v>
      </c>
      <c r="AR22" s="38" t="s">
        <v>71</v>
      </c>
      <c r="AS22" s="38" t="s">
        <v>71</v>
      </c>
      <c r="AT22" s="38" t="s">
        <v>71</v>
      </c>
      <c r="AU22" s="38" t="s">
        <v>71</v>
      </c>
      <c r="AW22" s="46" t="s">
        <v>93</v>
      </c>
      <c r="AX22" s="154">
        <f>AX20/AX21-1</f>
        <v>0.3889298533201162</v>
      </c>
    </row>
    <row r="23" spans="1:51" ht="12.75" customHeight="1" x14ac:dyDescent="0.25">
      <c r="E23" s="34"/>
      <c r="F23" s="38"/>
      <c r="G23" s="34"/>
      <c r="H23" s="23"/>
      <c r="I23" s="34"/>
      <c r="J23" s="23"/>
      <c r="K23" s="34"/>
      <c r="L23" s="23"/>
      <c r="M23" s="34"/>
      <c r="X23" s="38"/>
      <c r="Y23" s="38"/>
      <c r="Z23" s="38"/>
      <c r="AA23" s="38"/>
      <c r="AB23" s="38"/>
      <c r="AC23" s="38"/>
      <c r="AD23" s="38"/>
      <c r="AE23" s="38"/>
      <c r="AF23" s="135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W23" s="48" t="s">
        <v>157</v>
      </c>
      <c r="AX23" s="153">
        <f>+AX20*Main!C7</f>
        <v>705.45555503460457</v>
      </c>
    </row>
    <row r="24" spans="1:51" ht="12.75" customHeight="1" x14ac:dyDescent="0.2">
      <c r="B24" s="29" t="s">
        <v>144</v>
      </c>
      <c r="E24" s="34"/>
      <c r="F24" s="38"/>
      <c r="G24" s="34"/>
      <c r="H24" s="23"/>
      <c r="I24" s="34"/>
      <c r="J24" s="23"/>
      <c r="K24" s="34"/>
      <c r="L24" s="23"/>
      <c r="M24" s="34"/>
      <c r="X24" s="38"/>
      <c r="Y24" s="38"/>
      <c r="Z24" s="38"/>
      <c r="AA24" s="38"/>
      <c r="AB24" s="38"/>
      <c r="AC24" s="38"/>
      <c r="AD24" s="38"/>
      <c r="AE24" s="38"/>
      <c r="AF24" s="135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</row>
    <row r="25" spans="1:51" s="3" customFormat="1" ht="12.75" customHeight="1" x14ac:dyDescent="0.2">
      <c r="B25" s="3" t="s">
        <v>110</v>
      </c>
      <c r="E25" s="53"/>
      <c r="F25" s="10"/>
      <c r="G25" s="53"/>
      <c r="H25" s="54"/>
      <c r="I25" s="53"/>
      <c r="J25" s="54"/>
      <c r="K25" s="53"/>
      <c r="L25" s="54"/>
      <c r="M25" s="53"/>
      <c r="N25" s="3">
        <v>69</v>
      </c>
      <c r="O25" s="61">
        <f>+AC25</f>
        <v>71</v>
      </c>
      <c r="P25" s="3">
        <v>71</v>
      </c>
      <c r="Q25" s="61"/>
      <c r="R25" s="3">
        <v>75</v>
      </c>
      <c r="S25" s="61"/>
      <c r="V25" s="3">
        <v>54</v>
      </c>
      <c r="W25" s="3">
        <v>58</v>
      </c>
      <c r="X25" s="10"/>
      <c r="Y25" s="10">
        <f>SUM(Y26:Y29)</f>
        <v>60</v>
      </c>
      <c r="Z25" s="10"/>
      <c r="AA25" s="10">
        <f>SUM(AA26:AA29)</f>
        <v>64</v>
      </c>
      <c r="AB25" s="10">
        <f>SUM(AB26:AB29)</f>
        <v>67</v>
      </c>
      <c r="AC25" s="10">
        <f>SUM(AC26:AC29)</f>
        <v>71</v>
      </c>
      <c r="AD25" s="10">
        <f>72+13</f>
        <v>85</v>
      </c>
      <c r="AE25" s="10">
        <v>92</v>
      </c>
      <c r="AF25" s="129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"/>
      <c r="AV25" s="1"/>
      <c r="AW25" s="1"/>
      <c r="AX25" s="1"/>
      <c r="AY25" s="1"/>
    </row>
    <row r="26" spans="1:51" ht="12.75" customHeight="1" x14ac:dyDescent="0.2">
      <c r="B26" s="51" t="s">
        <v>97</v>
      </c>
      <c r="E26" s="34"/>
      <c r="F26" s="38"/>
      <c r="G26" s="34"/>
      <c r="H26" s="23"/>
      <c r="I26" s="34"/>
      <c r="J26" s="23"/>
      <c r="K26" s="34"/>
      <c r="L26" s="23"/>
      <c r="M26" s="34"/>
      <c r="O26" s="25">
        <f>+AC26</f>
        <v>62</v>
      </c>
      <c r="X26" s="38"/>
      <c r="Y26" s="38">
        <v>54</v>
      </c>
      <c r="Z26" s="38"/>
      <c r="AA26" s="38">
        <v>56</v>
      </c>
      <c r="AB26" s="38">
        <v>59</v>
      </c>
      <c r="AC26" s="38">
        <v>62</v>
      </c>
      <c r="AD26" s="38"/>
      <c r="AE26" s="38">
        <v>77</v>
      </c>
      <c r="AF26" s="135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</row>
    <row r="27" spans="1:51" ht="12.75" customHeight="1" x14ac:dyDescent="0.2">
      <c r="B27" s="51" t="s">
        <v>98</v>
      </c>
      <c r="O27" s="25">
        <f>+AC27</f>
        <v>3</v>
      </c>
      <c r="Y27" s="1">
        <v>6</v>
      </c>
      <c r="AA27" s="1">
        <v>5</v>
      </c>
      <c r="AB27" s="1">
        <v>3</v>
      </c>
      <c r="AC27" s="1">
        <v>3</v>
      </c>
      <c r="AE27" s="1">
        <v>15</v>
      </c>
    </row>
    <row r="28" spans="1:51" ht="12.75" customHeight="1" x14ac:dyDescent="0.2">
      <c r="B28" s="51" t="s">
        <v>173</v>
      </c>
    </row>
    <row r="29" spans="1:51" ht="12.75" customHeight="1" x14ac:dyDescent="0.2">
      <c r="B29" s="51" t="s">
        <v>99</v>
      </c>
      <c r="C29" s="55"/>
      <c r="D29" s="55"/>
      <c r="E29" s="56"/>
      <c r="F29" s="55"/>
      <c r="G29" s="56"/>
      <c r="H29" s="55"/>
      <c r="I29" s="56"/>
      <c r="J29" s="55"/>
      <c r="K29" s="56"/>
      <c r="L29" s="55"/>
      <c r="M29" s="56"/>
      <c r="N29" s="55"/>
      <c r="O29" s="25">
        <f>+AC29</f>
        <v>6</v>
      </c>
      <c r="P29" s="55"/>
      <c r="Q29" s="56"/>
      <c r="R29" s="55"/>
      <c r="S29" s="56"/>
      <c r="T29" s="55"/>
      <c r="U29" s="55"/>
      <c r="V29" s="55"/>
      <c r="W29" s="55"/>
      <c r="X29" s="52"/>
      <c r="Y29" s="52">
        <v>0</v>
      </c>
      <c r="Z29" s="52"/>
      <c r="AA29" s="52">
        <v>3</v>
      </c>
      <c r="AB29" s="52">
        <v>5</v>
      </c>
      <c r="AC29" s="52">
        <v>6</v>
      </c>
      <c r="AD29" s="52"/>
      <c r="AE29" s="52"/>
      <c r="AF29" s="136"/>
      <c r="AG29" s="55"/>
      <c r="AH29" s="55"/>
      <c r="AI29" s="55"/>
      <c r="AJ29" s="55"/>
      <c r="AK29" s="55"/>
      <c r="AL29" s="55"/>
      <c r="AM29" s="55"/>
    </row>
    <row r="30" spans="1:51" s="71" customFormat="1" ht="12.75" customHeight="1" x14ac:dyDescent="0.2">
      <c r="B30" s="72" t="s">
        <v>117</v>
      </c>
      <c r="C30" s="73"/>
      <c r="D30" s="73"/>
      <c r="E30" s="74"/>
      <c r="F30" s="73"/>
      <c r="G30" s="74"/>
      <c r="H30" s="73"/>
      <c r="I30" s="74"/>
      <c r="J30" s="73"/>
      <c r="K30" s="74"/>
      <c r="L30" s="73"/>
      <c r="M30" s="74"/>
      <c r="N30" s="73"/>
      <c r="O30" s="74" t="s">
        <v>109</v>
      </c>
      <c r="P30" s="73"/>
      <c r="Q30" s="74"/>
      <c r="R30" s="73"/>
      <c r="S30" s="74"/>
      <c r="T30" s="73"/>
      <c r="U30" s="73"/>
      <c r="V30" s="80">
        <f>V3/V25</f>
        <v>1.9407962962962964</v>
      </c>
      <c r="W30" s="80">
        <f t="shared" ref="W30:AE30" si="80">W3/W25</f>
        <v>1.9649655172413794</v>
      </c>
      <c r="X30" s="80"/>
      <c r="Y30" s="80">
        <f t="shared" si="80"/>
        <v>2.1649000000000003</v>
      </c>
      <c r="Z30" s="80"/>
      <c r="AA30" s="80">
        <f t="shared" si="80"/>
        <v>1.12309375</v>
      </c>
      <c r="AB30" s="80">
        <f t="shared" si="80"/>
        <v>2.8916567164179106</v>
      </c>
      <c r="AC30" s="80">
        <f t="shared" si="80"/>
        <v>3.0293239436619719</v>
      </c>
      <c r="AD30" s="80">
        <f t="shared" si="80"/>
        <v>2.7105764705882351</v>
      </c>
      <c r="AE30" s="80">
        <f t="shared" si="80"/>
        <v>2.7245869565217391</v>
      </c>
      <c r="AF30" s="137"/>
      <c r="AG30" s="73"/>
      <c r="AH30" s="73"/>
      <c r="AI30" s="73"/>
      <c r="AJ30" s="73"/>
      <c r="AK30" s="73"/>
      <c r="AL30" s="73"/>
      <c r="AM30" s="73"/>
    </row>
    <row r="31" spans="1:51" s="3" customFormat="1" ht="12.75" customHeight="1" x14ac:dyDescent="0.2">
      <c r="B31" s="67" t="s">
        <v>115</v>
      </c>
      <c r="C31" s="68"/>
      <c r="D31" s="68"/>
      <c r="E31" s="69"/>
      <c r="F31" s="68"/>
      <c r="G31" s="69"/>
      <c r="H31" s="68"/>
      <c r="I31" s="69"/>
      <c r="J31" s="68"/>
      <c r="K31" s="69"/>
      <c r="L31" s="68"/>
      <c r="M31" s="69"/>
      <c r="N31" s="68"/>
      <c r="O31" s="69"/>
      <c r="P31" s="68"/>
      <c r="Q31" s="69"/>
      <c r="R31" s="68"/>
      <c r="S31" s="69"/>
      <c r="T31" s="68"/>
      <c r="U31" s="68"/>
      <c r="V31" s="36">
        <v>12.1</v>
      </c>
      <c r="W31" s="36">
        <v>13.1</v>
      </c>
      <c r="X31" s="70"/>
      <c r="Y31" s="70"/>
      <c r="Z31" s="70"/>
      <c r="AA31" s="70"/>
      <c r="AB31" s="70"/>
      <c r="AC31" s="70"/>
      <c r="AD31" s="70"/>
      <c r="AE31" s="70"/>
      <c r="AF31" s="138"/>
      <c r="AG31" s="68"/>
      <c r="AH31" s="68"/>
      <c r="AI31" s="68"/>
      <c r="AJ31" s="68"/>
      <c r="AK31" s="68"/>
      <c r="AL31" s="68"/>
      <c r="AM31" s="68"/>
    </row>
    <row r="32" spans="1:51" s="75" customFormat="1" x14ac:dyDescent="0.2">
      <c r="B32" s="76" t="s">
        <v>116</v>
      </c>
      <c r="E32" s="77"/>
      <c r="G32" s="77"/>
      <c r="I32" s="77"/>
      <c r="K32" s="77"/>
      <c r="M32" s="77"/>
      <c r="O32" s="77"/>
      <c r="Q32" s="77"/>
      <c r="S32" s="77"/>
      <c r="V32" s="79">
        <f>V3/V31</f>
        <v>8.6614049586776858</v>
      </c>
      <c r="W32" s="79">
        <f>W3/W31</f>
        <v>8.6998473282442745</v>
      </c>
      <c r="AF32" s="78"/>
    </row>
    <row r="33" spans="1:34" s="75" customFormat="1" x14ac:dyDescent="0.2">
      <c r="B33" s="76"/>
      <c r="E33" s="77"/>
      <c r="G33" s="77"/>
      <c r="I33" s="77"/>
      <c r="K33" s="77"/>
      <c r="M33" s="77"/>
      <c r="O33" s="77"/>
      <c r="Q33" s="77"/>
      <c r="S33" s="77"/>
      <c r="V33" s="79"/>
      <c r="W33" s="79"/>
      <c r="AF33" s="78"/>
      <c r="AH33" s="75" t="s">
        <v>152</v>
      </c>
    </row>
    <row r="34" spans="1:34" s="140" customFormat="1" x14ac:dyDescent="0.2">
      <c r="B34" s="141" t="s">
        <v>145</v>
      </c>
      <c r="E34" s="142"/>
      <c r="G34" s="142"/>
      <c r="I34" s="142"/>
      <c r="K34" s="142"/>
      <c r="M34" s="142"/>
      <c r="O34" s="142"/>
      <c r="Q34" s="142"/>
      <c r="S34" s="142"/>
      <c r="V34" s="140">
        <f t="shared" ref="V34:AA34" si="81">SUM(V35:V37)</f>
        <v>0</v>
      </c>
      <c r="W34" s="140">
        <f t="shared" si="81"/>
        <v>0</v>
      </c>
      <c r="X34" s="140">
        <f t="shared" si="81"/>
        <v>0</v>
      </c>
      <c r="Y34" s="140">
        <f t="shared" si="81"/>
        <v>0</v>
      </c>
      <c r="Z34" s="140">
        <f t="shared" si="81"/>
        <v>0</v>
      </c>
      <c r="AA34" s="140">
        <f t="shared" si="81"/>
        <v>1787</v>
      </c>
      <c r="AB34" s="140">
        <f>SUM(AB35:AB37)</f>
        <v>2530</v>
      </c>
      <c r="AC34" s="140">
        <f>SUM(AC35:AC37)</f>
        <v>2787</v>
      </c>
      <c r="AD34" s="140">
        <f>SUM(AD35:AD37)</f>
        <v>2826</v>
      </c>
      <c r="AE34" s="140">
        <f>SUM(AE35:AE37)</f>
        <v>2882</v>
      </c>
      <c r="AF34" s="143"/>
    </row>
    <row r="35" spans="1:34" s="144" customFormat="1" x14ac:dyDescent="0.2">
      <c r="B35" s="145" t="s">
        <v>146</v>
      </c>
      <c r="E35" s="146"/>
      <c r="G35" s="146"/>
      <c r="I35" s="146"/>
      <c r="K35" s="146"/>
      <c r="M35" s="146"/>
      <c r="O35" s="146"/>
      <c r="Q35" s="146"/>
      <c r="S35" s="146"/>
      <c r="AA35" s="144">
        <v>6</v>
      </c>
      <c r="AB35" s="144">
        <v>7</v>
      </c>
      <c r="AC35" s="144">
        <v>7</v>
      </c>
      <c r="AD35" s="144">
        <v>7</v>
      </c>
      <c r="AE35" s="144">
        <v>9</v>
      </c>
      <c r="AF35" s="147"/>
    </row>
    <row r="36" spans="1:34" s="144" customFormat="1" x14ac:dyDescent="0.2">
      <c r="B36" s="145" t="s">
        <v>147</v>
      </c>
      <c r="E36" s="146"/>
      <c r="G36" s="146"/>
      <c r="I36" s="146"/>
      <c r="K36" s="146"/>
      <c r="M36" s="146"/>
      <c r="O36" s="146"/>
      <c r="Q36" s="146"/>
      <c r="S36" s="146"/>
      <c r="AA36" s="144">
        <v>58</v>
      </c>
      <c r="AB36" s="144">
        <v>91</v>
      </c>
      <c r="AC36" s="144">
        <v>112</v>
      </c>
      <c r="AD36" s="144">
        <v>118</v>
      </c>
      <c r="AE36" s="144">
        <v>130</v>
      </c>
      <c r="AF36" s="147"/>
    </row>
    <row r="37" spans="1:34" s="148" customFormat="1" x14ac:dyDescent="0.2">
      <c r="B37" s="145" t="s">
        <v>148</v>
      </c>
      <c r="E37" s="149"/>
      <c r="G37" s="149"/>
      <c r="I37" s="149"/>
      <c r="K37" s="149"/>
      <c r="M37" s="149"/>
      <c r="O37" s="149"/>
      <c r="Q37" s="149"/>
      <c r="S37" s="149"/>
      <c r="AA37" s="148">
        <v>1723</v>
      </c>
      <c r="AB37" s="148">
        <v>2432</v>
      </c>
      <c r="AC37" s="148">
        <v>2668</v>
      </c>
      <c r="AD37" s="148">
        <v>2701</v>
      </c>
      <c r="AE37" s="148">
        <v>2743</v>
      </c>
      <c r="AF37" s="147"/>
    </row>
    <row r="38" spans="1:34" s="156" customFormat="1" x14ac:dyDescent="0.2">
      <c r="B38" s="156" t="s">
        <v>159</v>
      </c>
      <c r="E38" s="157"/>
      <c r="G38" s="157"/>
      <c r="I38" s="157"/>
      <c r="K38" s="157"/>
      <c r="M38" s="157"/>
      <c r="O38" s="157"/>
      <c r="Q38" s="157"/>
      <c r="S38" s="157"/>
      <c r="AB38" s="156">
        <f>+AB34/AA34-1</f>
        <v>0.41578063794068276</v>
      </c>
      <c r="AC38" s="156">
        <f>+AC34/AB34-1</f>
        <v>0.10158102766798427</v>
      </c>
      <c r="AD38" s="156">
        <f>+AD34/AC34-1</f>
        <v>1.3993541442411273E-2</v>
      </c>
      <c r="AE38" s="156">
        <f>+AE34/AD34-1</f>
        <v>1.9815994338287402E-2</v>
      </c>
      <c r="AF38" s="158"/>
    </row>
    <row r="40" spans="1:34" x14ac:dyDescent="0.2">
      <c r="B40" s="29" t="s">
        <v>48</v>
      </c>
    </row>
    <row r="41" spans="1:34" x14ac:dyDescent="0.2">
      <c r="B41" s="1" t="s">
        <v>49</v>
      </c>
      <c r="H41" s="14">
        <v>48.180999999999997</v>
      </c>
      <c r="L41" s="14">
        <v>55.976999999999997</v>
      </c>
      <c r="M41" s="31"/>
      <c r="N41" s="27">
        <v>74.733999999999995</v>
      </c>
      <c r="P41" s="14">
        <v>91.209000000000003</v>
      </c>
      <c r="R41" s="14">
        <v>114.261</v>
      </c>
      <c r="T41" s="14">
        <v>121.367</v>
      </c>
      <c r="AA41" s="14">
        <v>49.036000000000001</v>
      </c>
      <c r="AB41" s="14">
        <v>68.641000000000005</v>
      </c>
      <c r="AC41" s="14">
        <v>78.278999999999996</v>
      </c>
      <c r="AD41" s="14">
        <v>101.93600000000001</v>
      </c>
      <c r="AE41" s="14">
        <v>121.73699999999999</v>
      </c>
      <c r="AF41" s="132"/>
    </row>
    <row r="42" spans="1:34" x14ac:dyDescent="0.2">
      <c r="B42" s="1" t="s">
        <v>50</v>
      </c>
      <c r="H42" s="14">
        <v>147.39099999999999</v>
      </c>
      <c r="L42" s="14">
        <v>133.077</v>
      </c>
      <c r="M42" s="31"/>
      <c r="N42" s="27">
        <v>150.56299999999999</v>
      </c>
      <c r="P42" s="14">
        <v>160.84</v>
      </c>
      <c r="R42" s="14">
        <v>184.92699999999999</v>
      </c>
      <c r="T42" s="14">
        <v>183.34899999999999</v>
      </c>
      <c r="AA42" s="14">
        <v>132.34200000000001</v>
      </c>
      <c r="AB42" s="14">
        <v>147.45500000000001</v>
      </c>
      <c r="AC42" s="14">
        <v>150.81100000000001</v>
      </c>
      <c r="AD42" s="14">
        <v>172.767</v>
      </c>
      <c r="AE42" s="14">
        <v>186.71700000000001</v>
      </c>
      <c r="AF42" s="132"/>
    </row>
    <row r="43" spans="1:34" x14ac:dyDescent="0.2">
      <c r="B43" s="1" t="s">
        <v>51</v>
      </c>
      <c r="H43" s="14">
        <v>78.364000000000004</v>
      </c>
      <c r="L43" s="14">
        <v>77.807000000000002</v>
      </c>
      <c r="M43" s="31"/>
      <c r="N43" s="27">
        <v>88.628</v>
      </c>
      <c r="P43" s="14">
        <v>94.15</v>
      </c>
      <c r="R43" s="14">
        <v>99.596000000000004</v>
      </c>
      <c r="T43" s="14">
        <v>99.063999999999993</v>
      </c>
      <c r="AA43" s="14">
        <v>77.947999999999993</v>
      </c>
      <c r="AB43" s="14">
        <v>81.793999999999997</v>
      </c>
      <c r="AC43" s="14">
        <v>89.376000000000005</v>
      </c>
      <c r="AD43" s="14">
        <v>100.32299999999999</v>
      </c>
      <c r="AE43" s="14">
        <v>99.335999999999999</v>
      </c>
      <c r="AF43" s="132"/>
    </row>
    <row r="44" spans="1:34" x14ac:dyDescent="0.2">
      <c r="B44" s="1" t="s">
        <v>52</v>
      </c>
      <c r="H44" s="14">
        <v>2.93</v>
      </c>
      <c r="L44" s="14">
        <v>4.13</v>
      </c>
      <c r="M44" s="31"/>
      <c r="N44" s="27">
        <v>0.29799999999999999</v>
      </c>
      <c r="P44" s="14">
        <v>0.13100000000000001</v>
      </c>
      <c r="R44" s="14">
        <v>0.57699999999999996</v>
      </c>
      <c r="T44" s="14">
        <v>0</v>
      </c>
      <c r="AA44" s="14">
        <v>6.29</v>
      </c>
      <c r="AB44" s="14">
        <v>1.647</v>
      </c>
      <c r="AC44" s="14">
        <v>1.3089999999999999</v>
      </c>
      <c r="AD44" s="14">
        <v>0.51800000000000002</v>
      </c>
      <c r="AE44" s="14">
        <v>0.84699999999999998</v>
      </c>
      <c r="AF44" s="132"/>
    </row>
    <row r="45" spans="1:34" x14ac:dyDescent="0.2">
      <c r="B45" s="1" t="s">
        <v>53</v>
      </c>
      <c r="H45" s="14">
        <f>SUM(H41:H44)</f>
        <v>276.86600000000004</v>
      </c>
      <c r="L45" s="14">
        <f>SUM(L41:L44)</f>
        <v>270.99099999999999</v>
      </c>
      <c r="M45" s="31"/>
      <c r="N45" s="27">
        <f>SUM(N41:N44)</f>
        <v>314.22299999999996</v>
      </c>
      <c r="P45" s="14">
        <f>SUM(P41:P44)</f>
        <v>346.33</v>
      </c>
      <c r="R45" s="14">
        <f>SUM(R41:R44)</f>
        <v>399.36099999999999</v>
      </c>
      <c r="T45" s="14">
        <f>SUM(T41:T44)</f>
        <v>403.78</v>
      </c>
      <c r="AA45" s="14">
        <f>SUM(AA41:AA44)</f>
        <v>265.61600000000004</v>
      </c>
      <c r="AB45" s="14">
        <f>SUM(AB41:AB44)</f>
        <v>299.53699999999998</v>
      </c>
      <c r="AC45" s="14">
        <f>SUM(AC41:AC44)</f>
        <v>319.77500000000003</v>
      </c>
      <c r="AD45" s="14">
        <f>SUM(AD41:AD44)</f>
        <v>375.54399999999993</v>
      </c>
      <c r="AE45" s="14">
        <f>SUM(AE41:AE44)</f>
        <v>408.637</v>
      </c>
      <c r="AF45" s="132"/>
    </row>
    <row r="46" spans="1:34" s="3" customFormat="1" x14ac:dyDescent="0.2">
      <c r="B46" s="3" t="s">
        <v>6</v>
      </c>
      <c r="E46" s="61"/>
      <c r="G46" s="61"/>
      <c r="H46" s="12">
        <v>15.635999999999999</v>
      </c>
      <c r="I46" s="61"/>
      <c r="K46" s="61"/>
      <c r="L46" s="12">
        <v>49.576999999999998</v>
      </c>
      <c r="M46" s="30"/>
      <c r="N46" s="36">
        <v>44.149000000000001</v>
      </c>
      <c r="O46" s="61"/>
      <c r="P46" s="12">
        <v>41.404000000000003</v>
      </c>
      <c r="Q46" s="61"/>
      <c r="R46" s="12">
        <v>22.738</v>
      </c>
      <c r="S46" s="61"/>
      <c r="T46" s="12">
        <v>25.994</v>
      </c>
      <c r="AA46" s="12">
        <v>29.942</v>
      </c>
      <c r="AB46" s="12">
        <v>56.066000000000003</v>
      </c>
      <c r="AC46" s="12">
        <v>52.454999999999998</v>
      </c>
      <c r="AD46" s="12">
        <v>28.702000000000002</v>
      </c>
      <c r="AE46" s="12">
        <v>15.189</v>
      </c>
      <c r="AF46" s="131"/>
    </row>
    <row r="47" spans="1:34" x14ac:dyDescent="0.2">
      <c r="A47" s="13"/>
      <c r="B47" s="1" t="s">
        <v>54</v>
      </c>
      <c r="H47" s="14">
        <v>2.9940000000000002</v>
      </c>
      <c r="L47" s="14">
        <v>10.474</v>
      </c>
      <c r="M47" s="31"/>
      <c r="N47" s="27">
        <v>5.8979999999999997</v>
      </c>
      <c r="P47" s="14">
        <v>9.2129999999999992</v>
      </c>
      <c r="R47" s="14">
        <v>7.5439999999999996</v>
      </c>
      <c r="T47" s="14">
        <v>7.335</v>
      </c>
      <c r="AA47" s="14">
        <v>3.3</v>
      </c>
      <c r="AB47" s="14">
        <v>5.13</v>
      </c>
      <c r="AC47" s="14">
        <v>8.1159999999999997</v>
      </c>
      <c r="AD47" s="14">
        <v>9.42</v>
      </c>
      <c r="AE47" s="14">
        <v>9.6329999999999991</v>
      </c>
      <c r="AF47" s="132"/>
    </row>
    <row r="48" spans="1:34" x14ac:dyDescent="0.2">
      <c r="A48" s="13"/>
      <c r="B48" s="1" t="s">
        <v>55</v>
      </c>
      <c r="H48" s="14">
        <v>1.3120000000000001</v>
      </c>
      <c r="L48" s="14">
        <v>0</v>
      </c>
      <c r="M48" s="31"/>
      <c r="N48" s="27">
        <v>0</v>
      </c>
      <c r="P48" s="14">
        <v>0</v>
      </c>
      <c r="R48" s="14">
        <v>0</v>
      </c>
      <c r="T48" s="14">
        <v>0</v>
      </c>
      <c r="AA48" s="14">
        <v>0.65</v>
      </c>
      <c r="AB48" s="14">
        <v>0.27100000000000002</v>
      </c>
      <c r="AC48" s="14">
        <v>0.71499999999999997</v>
      </c>
      <c r="AD48" s="14">
        <v>1.268</v>
      </c>
      <c r="AE48" s="14">
        <v>2.2080000000000002</v>
      </c>
      <c r="AF48" s="132"/>
    </row>
    <row r="49" spans="1:32" x14ac:dyDescent="0.2">
      <c r="A49" s="13"/>
      <c r="B49" s="1" t="s">
        <v>56</v>
      </c>
      <c r="H49" s="14">
        <v>1.4830000000000001</v>
      </c>
      <c r="L49" s="14">
        <v>1.7390000000000001</v>
      </c>
      <c r="M49" s="31"/>
      <c r="N49" s="27">
        <v>2.6389999999999998</v>
      </c>
      <c r="P49" s="14">
        <v>2.8980000000000001</v>
      </c>
      <c r="R49" s="14">
        <v>3.0449999999999999</v>
      </c>
      <c r="T49" s="14">
        <v>4.16</v>
      </c>
      <c r="AA49" s="14">
        <v>1.4610000000000001</v>
      </c>
      <c r="AB49" s="14">
        <v>2.1480000000000001</v>
      </c>
      <c r="AC49" s="14">
        <v>2.4449999999999998</v>
      </c>
      <c r="AD49" s="14">
        <v>2.8969999999999998</v>
      </c>
      <c r="AE49" s="14">
        <v>3.5529999999999999</v>
      </c>
      <c r="AF49" s="132"/>
    </row>
    <row r="50" spans="1:32" x14ac:dyDescent="0.2">
      <c r="B50" s="1" t="s">
        <v>57</v>
      </c>
      <c r="H50" s="14">
        <f>H45+H46+H47+H48+H49</f>
        <v>298.29100000000011</v>
      </c>
      <c r="L50" s="14">
        <f>L45+L46+L47+L48+L49</f>
        <v>332.78099999999995</v>
      </c>
      <c r="M50" s="31"/>
      <c r="N50" s="27">
        <f>N45+N46+N47+N48+N49</f>
        <v>366.90899999999999</v>
      </c>
      <c r="P50" s="14">
        <f>P45+P46+P47+P48+P49</f>
        <v>399.84500000000003</v>
      </c>
      <c r="R50" s="14">
        <f>R45+R46+R47+R48+R49</f>
        <v>432.68799999999999</v>
      </c>
      <c r="T50" s="14">
        <f>T45+T46+T47+T48+T49</f>
        <v>441.26900000000001</v>
      </c>
      <c r="AA50" s="14">
        <f>SUM(AA46:AA49)+AA45</f>
        <v>300.96900000000005</v>
      </c>
      <c r="AB50" s="14">
        <f>SUM(AB46:AB49)+AB45</f>
        <v>363.15199999999999</v>
      </c>
      <c r="AC50" s="14">
        <f>SUM(AC46:AC49)+AC45</f>
        <v>383.50600000000003</v>
      </c>
      <c r="AD50" s="14">
        <f>SUM(AD46:AD49)+AD45</f>
        <v>417.8309999999999</v>
      </c>
      <c r="AE50" s="14">
        <f>SUM(AE46:AE49)+AE45</f>
        <v>439.22</v>
      </c>
      <c r="AF50" s="132"/>
    </row>
    <row r="51" spans="1:32" x14ac:dyDescent="0.2">
      <c r="H51" s="14"/>
      <c r="L51" s="14"/>
      <c r="M51" s="31"/>
      <c r="T51" s="14"/>
    </row>
    <row r="52" spans="1:32" x14ac:dyDescent="0.2">
      <c r="A52" s="3"/>
      <c r="B52" s="1" t="s">
        <v>58</v>
      </c>
      <c r="H52" s="14">
        <v>11.737</v>
      </c>
      <c r="L52" s="14">
        <v>21.773</v>
      </c>
      <c r="M52" s="31"/>
      <c r="N52" s="1">
        <v>25.984000000000002</v>
      </c>
      <c r="P52" s="14">
        <v>29.574000000000002</v>
      </c>
      <c r="R52" s="14">
        <v>28.725000000000001</v>
      </c>
      <c r="T52" s="14">
        <v>36.351999999999997</v>
      </c>
      <c r="AA52" s="14">
        <v>18.141999999999999</v>
      </c>
      <c r="AB52" s="14">
        <v>28.681000000000001</v>
      </c>
      <c r="AC52" s="14">
        <v>29.109000000000002</v>
      </c>
      <c r="AD52" s="14">
        <v>30.427</v>
      </c>
      <c r="AE52" s="14">
        <v>35.063000000000002</v>
      </c>
      <c r="AF52" s="132"/>
    </row>
    <row r="53" spans="1:32" x14ac:dyDescent="0.2">
      <c r="A53" s="3"/>
      <c r="B53" s="1" t="s">
        <v>59</v>
      </c>
      <c r="H53" s="14">
        <v>11.831</v>
      </c>
      <c r="L53" s="14">
        <v>11.615</v>
      </c>
      <c r="M53" s="31"/>
      <c r="N53" s="1">
        <v>11.91</v>
      </c>
      <c r="P53" s="14">
        <v>12.964</v>
      </c>
      <c r="R53" s="14">
        <v>15.154999999999999</v>
      </c>
      <c r="T53" s="14">
        <v>15.157999999999999</v>
      </c>
      <c r="AA53" s="14">
        <v>13.811</v>
      </c>
      <c r="AB53" s="14">
        <v>11.557</v>
      </c>
      <c r="AC53" s="14">
        <v>12.553000000000001</v>
      </c>
      <c r="AD53" s="14">
        <v>14.231</v>
      </c>
      <c r="AE53" s="14">
        <v>15.131</v>
      </c>
      <c r="AF53" s="132"/>
    </row>
    <row r="54" spans="1:32" x14ac:dyDescent="0.2">
      <c r="A54" s="3"/>
      <c r="B54" s="1" t="s">
        <v>40</v>
      </c>
      <c r="H54" s="14">
        <v>0</v>
      </c>
      <c r="L54" s="14">
        <v>2.0670000000000002</v>
      </c>
      <c r="M54" s="31"/>
      <c r="N54" s="1">
        <v>9.6000000000000002E-2</v>
      </c>
      <c r="P54" s="14">
        <v>0.79900000000000004</v>
      </c>
      <c r="R54" s="14">
        <v>1.4239999999999999</v>
      </c>
      <c r="T54" s="14">
        <v>1.1930000000000001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32"/>
    </row>
    <row r="55" spans="1:32" s="3" customFormat="1" x14ac:dyDescent="0.2">
      <c r="B55" s="3" t="s">
        <v>60</v>
      </c>
      <c r="E55" s="61"/>
      <c r="G55" s="61"/>
      <c r="H55" s="12">
        <v>5.38</v>
      </c>
      <c r="I55" s="61"/>
      <c r="K55" s="61"/>
      <c r="L55" s="12">
        <v>0</v>
      </c>
      <c r="M55" s="30"/>
      <c r="N55" s="3">
        <v>0</v>
      </c>
      <c r="O55" s="61"/>
      <c r="P55" s="12">
        <v>0</v>
      </c>
      <c r="Q55" s="61"/>
      <c r="R55" s="12">
        <v>0</v>
      </c>
      <c r="S55" s="61"/>
      <c r="T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31"/>
    </row>
    <row r="56" spans="1:32" x14ac:dyDescent="0.2">
      <c r="A56" s="3"/>
      <c r="B56" s="1" t="s">
        <v>61</v>
      </c>
      <c r="H56" s="14">
        <f>SUM(H52:H55)</f>
        <v>28.947999999999997</v>
      </c>
      <c r="L56" s="14">
        <f>SUM(L52:L55)</f>
        <v>35.454999999999998</v>
      </c>
      <c r="M56" s="31"/>
      <c r="N56" s="14">
        <f>SUM(N52:N55)</f>
        <v>37.99</v>
      </c>
      <c r="P56" s="14">
        <f>SUM(P52:P55)</f>
        <v>43.337000000000003</v>
      </c>
      <c r="R56" s="14">
        <f>SUM(R52:R55)</f>
        <v>45.304000000000002</v>
      </c>
      <c r="T56" s="14">
        <f>SUM(T52:T55)</f>
        <v>52.702999999999996</v>
      </c>
      <c r="AA56" s="14">
        <f>SUM(AA52:AA55)</f>
        <v>31.952999999999999</v>
      </c>
      <c r="AB56" s="14">
        <f>SUM(AB52:AB55)</f>
        <v>40.238</v>
      </c>
      <c r="AC56" s="14">
        <f>SUM(AC52:AC55)</f>
        <v>41.662000000000006</v>
      </c>
      <c r="AD56" s="14">
        <f>SUM(AD52:AD55)</f>
        <v>44.658000000000001</v>
      </c>
      <c r="AE56" s="14">
        <f>SUM(AE52:AE55)</f>
        <v>50.194000000000003</v>
      </c>
      <c r="AF56" s="132"/>
    </row>
    <row r="57" spans="1:32" x14ac:dyDescent="0.2">
      <c r="B57" s="1" t="s">
        <v>62</v>
      </c>
      <c r="H57" s="14">
        <v>0.68700000000000006</v>
      </c>
      <c r="L57" s="14">
        <v>0.51600000000000001</v>
      </c>
      <c r="M57" s="31"/>
      <c r="N57" s="1">
        <v>3.8660000000000001</v>
      </c>
      <c r="P57" s="14">
        <v>6.2370000000000001</v>
      </c>
      <c r="R57" s="14">
        <v>7.907</v>
      </c>
      <c r="T57" s="14">
        <v>0.96099999999999997</v>
      </c>
      <c r="AA57" s="14">
        <v>0.56499999999999995</v>
      </c>
      <c r="AB57" s="14">
        <v>3</v>
      </c>
      <c r="AC57" s="14">
        <v>5.2080000000000002</v>
      </c>
      <c r="AD57" s="14">
        <v>7.1159999999999997</v>
      </c>
      <c r="AE57" s="14">
        <v>5.7060000000000004</v>
      </c>
      <c r="AF57" s="132"/>
    </row>
    <row r="58" spans="1:32" x14ac:dyDescent="0.2">
      <c r="B58" s="1" t="s">
        <v>59</v>
      </c>
      <c r="H58" s="14">
        <v>164.32900000000001</v>
      </c>
      <c r="L58" s="14">
        <v>160.916</v>
      </c>
      <c r="M58" s="31"/>
      <c r="N58" s="1">
        <v>180.39599999999999</v>
      </c>
      <c r="P58" s="14">
        <v>192.09</v>
      </c>
      <c r="R58" s="14">
        <v>216.36799999999999</v>
      </c>
      <c r="T58" s="14">
        <v>219.976</v>
      </c>
      <c r="AA58" s="14">
        <v>160.12899999999999</v>
      </c>
      <c r="AB58" s="14">
        <v>176.81200000000001</v>
      </c>
      <c r="AC58" s="14">
        <v>181.65199999999999</v>
      </c>
      <c r="AD58" s="14">
        <v>204.011</v>
      </c>
      <c r="AE58" s="14">
        <v>220.66200000000001</v>
      </c>
      <c r="AF58" s="132"/>
    </row>
    <row r="59" spans="1:32" s="3" customFormat="1" x14ac:dyDescent="0.2">
      <c r="B59" s="3" t="s">
        <v>60</v>
      </c>
      <c r="E59" s="61"/>
      <c r="G59" s="61"/>
      <c r="H59" s="12">
        <v>24.693000000000001</v>
      </c>
      <c r="I59" s="61"/>
      <c r="K59" s="61"/>
      <c r="L59" s="12">
        <v>0</v>
      </c>
      <c r="M59" s="30"/>
      <c r="N59" s="3">
        <v>0</v>
      </c>
      <c r="O59" s="61"/>
      <c r="P59" s="12">
        <v>0</v>
      </c>
      <c r="Q59" s="61"/>
      <c r="R59" s="12">
        <v>0</v>
      </c>
      <c r="S59" s="61"/>
      <c r="T59" s="12">
        <v>0</v>
      </c>
      <c r="AA59" s="12">
        <v>0</v>
      </c>
      <c r="AB59" s="12">
        <v>0</v>
      </c>
      <c r="AC59" s="12">
        <v>1.96</v>
      </c>
      <c r="AD59" s="12">
        <v>0</v>
      </c>
      <c r="AE59" s="12">
        <v>0</v>
      </c>
      <c r="AF59" s="131"/>
    </row>
    <row r="60" spans="1:32" s="14" customFormat="1" x14ac:dyDescent="0.2">
      <c r="B60" s="14" t="s">
        <v>52</v>
      </c>
      <c r="E60" s="31"/>
      <c r="G60" s="31"/>
      <c r="H60" s="14">
        <v>0</v>
      </c>
      <c r="I60" s="31"/>
      <c r="K60" s="31"/>
      <c r="L60" s="14">
        <v>0</v>
      </c>
      <c r="M60" s="31"/>
      <c r="N60" s="14">
        <v>0</v>
      </c>
      <c r="O60" s="31"/>
      <c r="P60" s="14">
        <v>1.655</v>
      </c>
      <c r="Q60" s="31"/>
      <c r="R60" s="14">
        <v>4.9710000000000001</v>
      </c>
      <c r="S60" s="31"/>
      <c r="T60" s="14">
        <v>4.649</v>
      </c>
      <c r="AA60" s="14">
        <v>0</v>
      </c>
      <c r="AB60" s="14">
        <v>0</v>
      </c>
      <c r="AC60" s="14">
        <v>0</v>
      </c>
      <c r="AD60" s="14">
        <v>3.9929999999999999</v>
      </c>
      <c r="AE60" s="14">
        <v>5.5519999999999996</v>
      </c>
      <c r="AF60" s="132"/>
    </row>
    <row r="61" spans="1:32" x14ac:dyDescent="0.2">
      <c r="A61" s="3"/>
      <c r="B61" s="1" t="s">
        <v>63</v>
      </c>
      <c r="H61" s="14">
        <v>3.8029999999999999</v>
      </c>
      <c r="L61" s="14">
        <v>3.7690000000000001</v>
      </c>
      <c r="M61" s="31"/>
      <c r="N61" s="1">
        <v>5.2969999999999997</v>
      </c>
      <c r="P61" s="14">
        <v>5.6520000000000001</v>
      </c>
      <c r="R61" s="14">
        <v>6.0190000000000001</v>
      </c>
      <c r="T61" s="14">
        <v>6.077</v>
      </c>
      <c r="AA61" s="14">
        <v>3.6349999999999998</v>
      </c>
      <c r="AB61" s="14">
        <v>4.6820000000000004</v>
      </c>
      <c r="AC61" s="14">
        <v>5.0839999999999996</v>
      </c>
      <c r="AD61" s="14">
        <v>5.8479999999999999</v>
      </c>
      <c r="AE61" s="14">
        <v>5.82</v>
      </c>
      <c r="AF61" s="132"/>
    </row>
    <row r="62" spans="1:32" x14ac:dyDescent="0.2">
      <c r="B62" s="1" t="s">
        <v>64</v>
      </c>
      <c r="H62" s="14">
        <f>H56+H57+H58+H59+H61+H60</f>
        <v>222.46</v>
      </c>
      <c r="L62" s="14">
        <f>L56+L57+L58+L59+L61+L60</f>
        <v>200.65600000000001</v>
      </c>
      <c r="M62" s="31"/>
      <c r="N62" s="14">
        <f>N56+N57+N58+N59+N61+N60</f>
        <v>227.54899999999998</v>
      </c>
      <c r="P62" s="14">
        <f>P56+P57+P58+P59+P61+P60</f>
        <v>248.971</v>
      </c>
      <c r="R62" s="14">
        <f>R56+R57+R58+R59+R61+R60</f>
        <v>280.56900000000002</v>
      </c>
      <c r="T62" s="14">
        <f>T56+T57+T58+T59+T61+T60</f>
        <v>284.36599999999999</v>
      </c>
      <c r="AA62" s="14">
        <f t="shared" ref="AA62:AE62" si="82">AA56+AA57+AA58+AA59+AA61+AA60</f>
        <v>196.28199999999998</v>
      </c>
      <c r="AB62" s="14">
        <f t="shared" si="82"/>
        <v>224.732</v>
      </c>
      <c r="AC62" s="14">
        <f t="shared" si="82"/>
        <v>235.566</v>
      </c>
      <c r="AD62" s="14">
        <f t="shared" si="82"/>
        <v>265.62599999999998</v>
      </c>
      <c r="AE62" s="14">
        <f t="shared" si="82"/>
        <v>287.93400000000003</v>
      </c>
      <c r="AF62" s="132"/>
    </row>
    <row r="63" spans="1:32" x14ac:dyDescent="0.2">
      <c r="H63" s="14"/>
      <c r="R63" s="14"/>
      <c r="T63" s="14"/>
    </row>
    <row r="64" spans="1:32" x14ac:dyDescent="0.2">
      <c r="B64" s="1" t="s">
        <v>65</v>
      </c>
      <c r="H64" s="14">
        <v>75.83</v>
      </c>
      <c r="L64" s="14">
        <v>132.125</v>
      </c>
      <c r="M64" s="31"/>
      <c r="N64" s="14">
        <v>139.387</v>
      </c>
      <c r="P64" s="14">
        <v>150.874</v>
      </c>
      <c r="R64" s="14">
        <v>152.119</v>
      </c>
      <c r="T64" s="14">
        <v>156.90299999999999</v>
      </c>
      <c r="AA64" s="14">
        <v>104.687</v>
      </c>
      <c r="AB64" s="14">
        <v>138.41999999999999</v>
      </c>
      <c r="AC64" s="14">
        <v>147.94</v>
      </c>
      <c r="AD64" s="14">
        <v>152.20500000000001</v>
      </c>
      <c r="AE64" s="14">
        <v>151.28800000000001</v>
      </c>
      <c r="AF64" s="132"/>
    </row>
    <row r="65" spans="1:32" x14ac:dyDescent="0.2">
      <c r="B65" s="1" t="s">
        <v>66</v>
      </c>
      <c r="H65" s="14">
        <f>H62+H64</f>
        <v>298.29000000000002</v>
      </c>
      <c r="L65" s="14">
        <f>L62+L64</f>
        <v>332.78100000000001</v>
      </c>
      <c r="M65" s="31"/>
      <c r="N65" s="14">
        <f>N62+N64</f>
        <v>366.93599999999998</v>
      </c>
      <c r="P65" s="14">
        <f>P62+P64</f>
        <v>399.84500000000003</v>
      </c>
      <c r="R65" s="14">
        <f>R62+R64</f>
        <v>432.68799999999999</v>
      </c>
      <c r="T65" s="14">
        <f>T62+T64</f>
        <v>441.26900000000001</v>
      </c>
      <c r="AA65" s="14">
        <f>AA64+AA62</f>
        <v>300.96899999999999</v>
      </c>
      <c r="AB65" s="14">
        <f>AB64+AB62</f>
        <v>363.15199999999999</v>
      </c>
      <c r="AC65" s="14">
        <f>AC64+AC62</f>
        <v>383.50599999999997</v>
      </c>
      <c r="AD65" s="14">
        <f>AD64+AD62</f>
        <v>417.83100000000002</v>
      </c>
      <c r="AE65" s="14">
        <f>AE64+AE62</f>
        <v>439.22200000000004</v>
      </c>
      <c r="AF65" s="132"/>
    </row>
    <row r="67" spans="1:32" x14ac:dyDescent="0.2">
      <c r="B67" s="1" t="s">
        <v>131</v>
      </c>
      <c r="H67" s="14">
        <f>H50-H62</f>
        <v>75.831000000000103</v>
      </c>
      <c r="L67" s="14">
        <f>L50-L62</f>
        <v>132.12499999999994</v>
      </c>
      <c r="M67" s="31"/>
      <c r="N67" s="14">
        <f>N50-N62</f>
        <v>139.36000000000001</v>
      </c>
      <c r="P67" s="14">
        <f>P50-P62</f>
        <v>150.87400000000002</v>
      </c>
      <c r="R67" s="14">
        <f>R50-R62</f>
        <v>152.11899999999997</v>
      </c>
      <c r="T67" s="14">
        <f>T50-T62</f>
        <v>156.90300000000002</v>
      </c>
      <c r="AA67" s="14">
        <f t="shared" ref="AA67:AB67" si="83">AA50-AA62</f>
        <v>104.68700000000007</v>
      </c>
      <c r="AB67" s="14">
        <f t="shared" si="83"/>
        <v>138.41999999999999</v>
      </c>
      <c r="AC67" s="14">
        <f t="shared" ref="AC67:AD67" si="84">AC50-AC62</f>
        <v>147.94000000000003</v>
      </c>
      <c r="AD67" s="14">
        <f t="shared" si="84"/>
        <v>152.20499999999993</v>
      </c>
      <c r="AE67" s="14">
        <f t="shared" ref="AE67" si="85">AE50-AE62</f>
        <v>151.286</v>
      </c>
      <c r="AF67" s="132"/>
    </row>
    <row r="68" spans="1:32" x14ac:dyDescent="0.2">
      <c r="A68" s="3"/>
      <c r="B68" s="1" t="s">
        <v>132</v>
      </c>
      <c r="H68" s="1">
        <f>H67/H14</f>
        <v>0.50318915060727853</v>
      </c>
      <c r="L68" s="1">
        <f>L67/L14</f>
        <v>0.77343526713555533</v>
      </c>
      <c r="N68" s="1">
        <f>N67/N14</f>
        <v>0.81391234576365445</v>
      </c>
      <c r="P68" s="1">
        <f>P67/P14</f>
        <v>0.87219211748034853</v>
      </c>
      <c r="R68" s="1">
        <f>R67/R14</f>
        <v>0.88472364246444779</v>
      </c>
      <c r="T68" s="1">
        <f>T67/T14</f>
        <v>0.93910788288424585</v>
      </c>
      <c r="AA68" s="1">
        <f t="shared" ref="AA68:AB68" si="86">AA67/AA14</f>
        <v>0.63597840274765649</v>
      </c>
      <c r="AB68" s="1">
        <f t="shared" si="86"/>
        <v>0.80971382354881549</v>
      </c>
      <c r="AC68" s="1">
        <f t="shared" ref="AC68:AD68" si="87">AC67/AC14</f>
        <v>0.86278472172836618</v>
      </c>
      <c r="AD68" s="1">
        <f t="shared" si="87"/>
        <v>0.8867280467388432</v>
      </c>
      <c r="AE68" s="1">
        <f t="shared" ref="AE68" si="88">AE67/AE14</f>
        <v>0.88663645068374408</v>
      </c>
    </row>
    <row r="70" spans="1:32" x14ac:dyDescent="0.2">
      <c r="B70" s="1" t="s">
        <v>6</v>
      </c>
      <c r="H70" s="14">
        <f t="shared" ref="H70" si="89">H46</f>
        <v>15.635999999999999</v>
      </c>
      <c r="L70" s="14">
        <f t="shared" ref="L70:N70" si="90">L46</f>
        <v>49.576999999999998</v>
      </c>
      <c r="N70" s="14">
        <f t="shared" si="90"/>
        <v>44.149000000000001</v>
      </c>
      <c r="P70" s="14">
        <f t="shared" ref="P70:R70" si="91">P46</f>
        <v>41.404000000000003</v>
      </c>
      <c r="R70" s="14">
        <f t="shared" si="91"/>
        <v>22.738</v>
      </c>
      <c r="T70" s="14">
        <f t="shared" ref="T70" si="92">T46</f>
        <v>25.994</v>
      </c>
      <c r="AA70" s="14">
        <f t="shared" ref="AA70" si="93">AA46</f>
        <v>29.942</v>
      </c>
      <c r="AB70" s="14">
        <f>AB46</f>
        <v>56.066000000000003</v>
      </c>
      <c r="AC70" s="14">
        <f t="shared" ref="AC70:AD70" si="94">AC46</f>
        <v>52.454999999999998</v>
      </c>
      <c r="AD70" s="14">
        <f t="shared" si="94"/>
        <v>28.702000000000002</v>
      </c>
      <c r="AE70" s="14">
        <f t="shared" ref="AE70" si="95">AE46</f>
        <v>15.189</v>
      </c>
      <c r="AF70" s="132"/>
    </row>
    <row r="71" spans="1:32" x14ac:dyDescent="0.2">
      <c r="B71" s="1" t="s">
        <v>7</v>
      </c>
      <c r="H71" s="14">
        <f t="shared" ref="H71" si="96">H55+H59</f>
        <v>30.073</v>
      </c>
      <c r="L71" s="14">
        <f t="shared" ref="L71:N71" si="97">L55+L59</f>
        <v>0</v>
      </c>
      <c r="N71" s="14">
        <f t="shared" si="97"/>
        <v>0</v>
      </c>
      <c r="P71" s="14">
        <f t="shared" ref="P71:R71" si="98">P55+P59</f>
        <v>0</v>
      </c>
      <c r="R71" s="14">
        <f t="shared" si="98"/>
        <v>0</v>
      </c>
      <c r="T71" s="14">
        <f t="shared" ref="T71" si="99">T55+T59</f>
        <v>0</v>
      </c>
      <c r="AA71" s="14">
        <f t="shared" ref="AA71" si="100">AA55+AA59</f>
        <v>0</v>
      </c>
      <c r="AB71" s="14">
        <f>AB55+AB59</f>
        <v>0</v>
      </c>
      <c r="AC71" s="14">
        <f t="shared" ref="AC71:AD71" si="101">AC55+AC59</f>
        <v>1.96</v>
      </c>
      <c r="AD71" s="14">
        <f t="shared" si="101"/>
        <v>0</v>
      </c>
      <c r="AE71" s="14">
        <f t="shared" ref="AE71" si="102">AE55+AE59</f>
        <v>0</v>
      </c>
      <c r="AF71" s="132"/>
    </row>
    <row r="72" spans="1:32" x14ac:dyDescent="0.2">
      <c r="B72" s="1" t="s">
        <v>8</v>
      </c>
      <c r="H72" s="14">
        <f>H70-H71</f>
        <v>-14.437000000000001</v>
      </c>
      <c r="L72" s="14">
        <f>L70-L71</f>
        <v>49.576999999999998</v>
      </c>
      <c r="N72" s="14">
        <f>N70-N71</f>
        <v>44.149000000000001</v>
      </c>
      <c r="P72" s="14">
        <f>P70-P71</f>
        <v>41.404000000000003</v>
      </c>
      <c r="R72" s="14">
        <f>R70-R71</f>
        <v>22.738</v>
      </c>
      <c r="T72" s="14">
        <f>T70-T71</f>
        <v>25.994</v>
      </c>
      <c r="AA72" s="14">
        <f>AA70-AA71</f>
        <v>29.942</v>
      </c>
      <c r="AB72" s="14">
        <f>AB70-AB71</f>
        <v>56.066000000000003</v>
      </c>
      <c r="AC72" s="14">
        <f t="shared" ref="AC72:AD72" si="103">AC70-AC71</f>
        <v>50.494999999999997</v>
      </c>
      <c r="AD72" s="14">
        <f t="shared" si="103"/>
        <v>28.702000000000002</v>
      </c>
      <c r="AE72" s="14">
        <f t="shared" ref="AE72" si="104">AE70-AE71</f>
        <v>15.189</v>
      </c>
      <c r="AF72" s="132"/>
    </row>
    <row r="74" spans="1:32" x14ac:dyDescent="0.2">
      <c r="B74" s="1" t="s">
        <v>140</v>
      </c>
      <c r="H74" s="1">
        <v>1.4767999999999999</v>
      </c>
      <c r="L74" s="1">
        <v>2.3904999999999998</v>
      </c>
      <c r="N74" s="1">
        <v>2.3014000000000001</v>
      </c>
      <c r="P74" s="1">
        <v>3.2949999999999999</v>
      </c>
      <c r="R74" s="1">
        <v>2.6949999999999998</v>
      </c>
      <c r="T74" s="1">
        <v>2.355</v>
      </c>
      <c r="V74" s="1">
        <v>1.4937</v>
      </c>
      <c r="W74" s="1">
        <v>1.6520999999999999</v>
      </c>
      <c r="X74" s="1">
        <v>2.0512999999999999</v>
      </c>
      <c r="Y74" s="1">
        <v>2.1863999999999999</v>
      </c>
      <c r="Z74" s="1">
        <v>1.2907999999999999</v>
      </c>
      <c r="AA74" s="1">
        <v>2.395</v>
      </c>
      <c r="AB74" s="1">
        <v>1.8740000000000001</v>
      </c>
      <c r="AC74" s="1">
        <v>2.4750000000000001</v>
      </c>
      <c r="AD74" s="1">
        <v>3.1</v>
      </c>
      <c r="AE74" s="1">
        <v>2.5</v>
      </c>
    </row>
    <row r="75" spans="1:32" x14ac:dyDescent="0.2">
      <c r="B75" s="1" t="s">
        <v>5</v>
      </c>
      <c r="H75" s="27">
        <f t="shared" ref="H75" si="105">H74*H14</f>
        <v>222.55491928799998</v>
      </c>
      <c r="L75" s="27">
        <f t="shared" ref="L75:N75" si="106">L74*L14</f>
        <v>408.36618902800001</v>
      </c>
      <c r="N75" s="27">
        <f t="shared" si="106"/>
        <v>394.05116001659997</v>
      </c>
      <c r="P75" s="27">
        <f t="shared" ref="P75:R75" si="107">P74*P14</f>
        <v>569.977439645</v>
      </c>
      <c r="R75" s="27">
        <f t="shared" si="107"/>
        <v>463.37713306500001</v>
      </c>
      <c r="T75" s="27">
        <f t="shared" ref="T75" si="108">T74*T14</f>
        <v>393.46551310500001</v>
      </c>
      <c r="V75" s="27">
        <f t="shared" ref="V75:Z75" si="109">V74*V14</f>
        <v>158.09794302899999</v>
      </c>
      <c r="W75" s="27">
        <f t="shared" si="109"/>
        <v>247.815</v>
      </c>
      <c r="X75" s="27">
        <f t="shared" si="109"/>
        <v>307.69499999999999</v>
      </c>
      <c r="Y75" s="27">
        <f t="shared" si="109"/>
        <v>327.96</v>
      </c>
      <c r="Z75" s="27">
        <f t="shared" si="109"/>
        <v>198.01083562119999</v>
      </c>
      <c r="AA75" s="27">
        <f t="shared" ref="AA75" si="110">AA74*AA14</f>
        <v>394.23565944500001</v>
      </c>
      <c r="AB75" s="27">
        <f>AB74*AB14</f>
        <v>320.358961964</v>
      </c>
      <c r="AC75" s="27">
        <f t="shared" ref="AC75:AD75" si="111">AC74*AC14</f>
        <v>424.38338414999998</v>
      </c>
      <c r="AD75" s="27">
        <f t="shared" si="111"/>
        <v>532.10846520000007</v>
      </c>
      <c r="AE75" s="27">
        <f t="shared" ref="AE75" si="112">AE74*AE14</f>
        <v>426.57280749999995</v>
      </c>
      <c r="AF75" s="133"/>
    </row>
    <row r="76" spans="1:32" x14ac:dyDescent="0.2">
      <c r="B76" s="1" t="s">
        <v>9</v>
      </c>
      <c r="H76" s="27">
        <f>H75-H72</f>
        <v>236.99191928799999</v>
      </c>
      <c r="L76" s="27">
        <f>L75-L72</f>
        <v>358.78918902800001</v>
      </c>
      <c r="N76" s="27">
        <f>N75-N72</f>
        <v>349.90216001659996</v>
      </c>
      <c r="P76" s="27">
        <f>P75-P72</f>
        <v>528.57343964500001</v>
      </c>
      <c r="R76" s="27">
        <f>R75-R72</f>
        <v>440.63913306500001</v>
      </c>
      <c r="T76" s="27">
        <f>T75-T72</f>
        <v>367.47151310499999</v>
      </c>
      <c r="V76" s="27"/>
      <c r="W76" s="27"/>
      <c r="X76" s="27"/>
      <c r="Y76" s="27"/>
      <c r="Z76" s="27"/>
      <c r="AA76" s="27">
        <f>AA75-AA72</f>
        <v>364.293659445</v>
      </c>
      <c r="AB76" s="27">
        <f>AB75-AB72</f>
        <v>264.29296196400003</v>
      </c>
      <c r="AC76" s="27">
        <f t="shared" ref="AC76:AD76" si="113">AC75-AC72</f>
        <v>373.88838414999998</v>
      </c>
      <c r="AD76" s="27">
        <f t="shared" si="113"/>
        <v>503.40646520000007</v>
      </c>
      <c r="AE76" s="27">
        <f t="shared" ref="AE76" si="114">AE75-AE72</f>
        <v>411.38380749999993</v>
      </c>
      <c r="AF76" s="133"/>
    </row>
    <row r="78" spans="1:32" s="92" customFormat="1" x14ac:dyDescent="0.2">
      <c r="B78" s="92" t="s">
        <v>134</v>
      </c>
      <c r="E78" s="93"/>
      <c r="G78" s="93"/>
      <c r="H78" s="92">
        <f>H74/H68</f>
        <v>2.9348804484709379</v>
      </c>
      <c r="I78" s="93"/>
      <c r="K78" s="93"/>
      <c r="L78" s="92">
        <f>L74/L68</f>
        <v>3.0907563975629149</v>
      </c>
      <c r="M78" s="93"/>
      <c r="N78" s="92">
        <f>N74/N68</f>
        <v>2.827577210222445</v>
      </c>
      <c r="O78" s="93"/>
      <c r="P78" s="92">
        <f>P74/P68</f>
        <v>3.7778373983920348</v>
      </c>
      <c r="Q78" s="93"/>
      <c r="R78" s="92">
        <f>R74/R68</f>
        <v>3.0461489561790445</v>
      </c>
      <c r="S78" s="93"/>
      <c r="T78" s="92">
        <f>T74/T68</f>
        <v>2.5076991077608457</v>
      </c>
      <c r="AA78" s="92">
        <f t="shared" ref="AA78" si="115">AA74/AA68</f>
        <v>3.7658511510025101</v>
      </c>
      <c r="AB78" s="92">
        <f>AB74/AB68</f>
        <v>2.3143979335645142</v>
      </c>
      <c r="AC78" s="92">
        <f t="shared" ref="AC78:AD78" si="116">AC74/AC68</f>
        <v>2.8686182516560761</v>
      </c>
      <c r="AD78" s="92">
        <f t="shared" si="116"/>
        <v>3.4959985887454441</v>
      </c>
      <c r="AE78" s="92">
        <f t="shared" ref="AE78" si="117">AE74/AE68</f>
        <v>2.819644960538318</v>
      </c>
      <c r="AF78" s="139"/>
    </row>
    <row r="79" spans="1:32" s="92" customFormat="1" x14ac:dyDescent="0.2">
      <c r="A79" s="162"/>
      <c r="B79" s="92" t="s">
        <v>135</v>
      </c>
      <c r="E79" s="93"/>
      <c r="G79" s="93"/>
      <c r="H79" s="92">
        <f>+H75/SUM(G3:H3)</f>
        <v>1.6843122836514444</v>
      </c>
      <c r="I79" s="93"/>
      <c r="K79" s="93"/>
      <c r="L79" s="92">
        <f>+L75/SUM(K3:L3)</f>
        <v>2.5267370529767725</v>
      </c>
      <c r="M79" s="93"/>
      <c r="N79" s="92">
        <f>+N75/SUM(M3:N3)</f>
        <v>1.9352281702023375</v>
      </c>
      <c r="O79" s="93"/>
      <c r="P79" s="92">
        <f>+P75/SUM(O3:P3)</f>
        <v>2.5420795017549964</v>
      </c>
      <c r="Q79" s="93"/>
      <c r="R79" s="92">
        <f>+R75/SUM(Q3:R3)</f>
        <v>1.9270365384199517</v>
      </c>
      <c r="S79" s="93"/>
      <c r="T79" s="92">
        <f>+T75/SUM(S3:T3)</f>
        <v>1.4963396859693023</v>
      </c>
      <c r="V79" s="92">
        <f t="shared" ref="V79:Z79" si="118">V75/V3</f>
        <v>1.5085249757068022</v>
      </c>
      <c r="W79" s="92">
        <f t="shared" si="118"/>
        <v>2.174426154710094</v>
      </c>
      <c r="X79" s="92">
        <f t="shared" si="118"/>
        <v>2.552468726150579</v>
      </c>
      <c r="Y79" s="92">
        <f t="shared" si="118"/>
        <v>2.5248279366252482</v>
      </c>
      <c r="Z79" s="92">
        <f t="shared" si="118"/>
        <v>2.4915485211480628</v>
      </c>
      <c r="AA79" s="92">
        <f t="shared" ref="AA79" si="119">AA75/AA3</f>
        <v>5.4847889402181478</v>
      </c>
      <c r="AB79" s="92">
        <f>AB75/AB3</f>
        <v>1.6535424198491799</v>
      </c>
      <c r="AC79" s="92">
        <f t="shared" ref="AC79:AD79" si="120">AC75/AC3</f>
        <v>1.9731236651602644</v>
      </c>
      <c r="AD79" s="92">
        <f t="shared" si="120"/>
        <v>2.3095085707837275</v>
      </c>
      <c r="AE79" s="92">
        <f t="shared" ref="AE79" si="121">AE75/AE3</f>
        <v>1.7017849035753323</v>
      </c>
      <c r="AF79" s="139"/>
    </row>
    <row r="80" spans="1:32" x14ac:dyDescent="0.2">
      <c r="B80" s="1" t="s">
        <v>141</v>
      </c>
      <c r="AA80" s="92">
        <f t="shared" ref="AA80" si="122">AA76/AA3</f>
        <v>5.0682219795347674</v>
      </c>
      <c r="AB80" s="92">
        <f>AB76/AB3</f>
        <v>1.3641560741608643</v>
      </c>
      <c r="AC80" s="92">
        <f t="shared" ref="AC80:AD80" si="123">AC76/AC3</f>
        <v>1.7383527405826615</v>
      </c>
      <c r="AD80" s="92">
        <f t="shared" si="123"/>
        <v>2.1849333773150059</v>
      </c>
      <c r="AE80" s="92">
        <f t="shared" ref="AE80" si="124">AE76/AE3</f>
        <v>1.6411893605732017</v>
      </c>
      <c r="AF80" s="139"/>
    </row>
    <row r="81" spans="1:32" s="92" customFormat="1" x14ac:dyDescent="0.2">
      <c r="B81" s="92" t="s">
        <v>136</v>
      </c>
      <c r="E81" s="93"/>
      <c r="G81" s="93"/>
      <c r="I81" s="93"/>
      <c r="K81" s="93"/>
      <c r="L81" s="92">
        <f>+L74/SUM(K13:L13)</f>
        <v>9.9867133563668204</v>
      </c>
      <c r="M81" s="93"/>
      <c r="N81" s="92">
        <f>+N74/SUM(M13:N13)</f>
        <v>12.176107300310925</v>
      </c>
      <c r="O81" s="93"/>
      <c r="P81" s="92">
        <f>P74/SUM(O13:P13)</f>
        <v>16.624188566150199</v>
      </c>
      <c r="Q81" s="93"/>
      <c r="R81" s="92">
        <f>+R74/SUM(Q13:R13)</f>
        <v>16.196599981070452</v>
      </c>
      <c r="S81" s="93"/>
      <c r="T81" s="92">
        <f>+T74/SUM(S13:T13)</f>
        <v>11.840307379909271</v>
      </c>
      <c r="V81" s="92">
        <f t="shared" ref="V81:Z81" si="125">V74/V13</f>
        <v>133.19119042038895</v>
      </c>
      <c r="W81" s="92">
        <f t="shared" si="125"/>
        <v>13.652214631996477</v>
      </c>
      <c r="X81" s="92">
        <f t="shared" si="125"/>
        <v>16.380696337308347</v>
      </c>
      <c r="Y81" s="92">
        <f t="shared" si="125"/>
        <v>14.71662553286964</v>
      </c>
      <c r="Z81" s="92">
        <f t="shared" si="125"/>
        <v>142.9681123618769</v>
      </c>
      <c r="AA81" s="92">
        <f t="shared" ref="AA81" si="126">AA74/AA13</f>
        <v>228.14563625289284</v>
      </c>
      <c r="AB81" s="92">
        <f>AB74/AB13</f>
        <v>8.554082987476967</v>
      </c>
      <c r="AC81" s="92">
        <f t="shared" ref="AC81:AD81" si="127">AC74/AC13</f>
        <v>12.426675182278707</v>
      </c>
      <c r="AD81" s="92">
        <f t="shared" si="127"/>
        <v>17.790319799398205</v>
      </c>
      <c r="AE81" s="92">
        <f t="shared" ref="AE81" si="128">AE74/AE13</f>
        <v>12.325487806639883</v>
      </c>
      <c r="AF81" s="139"/>
    </row>
    <row r="82" spans="1:32" x14ac:dyDescent="0.2">
      <c r="B82" s="1" t="s">
        <v>142</v>
      </c>
      <c r="AA82" s="92">
        <f t="shared" ref="AA82" si="129">AA76/AA12</f>
        <v>210.81808995659659</v>
      </c>
      <c r="AB82" s="92">
        <f>AB76/AB12</f>
        <v>7.0570335094924017</v>
      </c>
      <c r="AC82" s="92">
        <f t="shared" ref="AC82:AD82" si="130">AC76/AC12</f>
        <v>10.948094760036312</v>
      </c>
      <c r="AD82" s="92">
        <f t="shared" si="130"/>
        <v>16.830707629555345</v>
      </c>
      <c r="AE82" s="92">
        <f t="shared" ref="AE82" si="131">AE76/AE12</f>
        <v>11.886613525383561</v>
      </c>
      <c r="AF82" s="139"/>
    </row>
    <row r="83" spans="1:32" x14ac:dyDescent="0.2">
      <c r="B83" s="1" t="s">
        <v>143</v>
      </c>
    </row>
    <row r="86" spans="1:32" x14ac:dyDescent="0.2">
      <c r="A86" s="3"/>
      <c r="B86" s="29" t="s">
        <v>160</v>
      </c>
    </row>
    <row r="87" spans="1:32" s="14" customFormat="1" x14ac:dyDescent="0.2">
      <c r="A87" s="12"/>
      <c r="B87" s="14" t="s">
        <v>161</v>
      </c>
      <c r="E87" s="31"/>
      <c r="G87" s="31"/>
      <c r="I87" s="31"/>
      <c r="K87" s="31"/>
      <c r="M87" s="31"/>
      <c r="O87" s="31"/>
      <c r="P87" s="14">
        <v>38.188000000000002</v>
      </c>
      <c r="Q87" s="31">
        <f>+AD87-P87</f>
        <v>29.840999999999994</v>
      </c>
      <c r="R87" s="14">
        <v>41.087000000000003</v>
      </c>
      <c r="S87" s="31"/>
      <c r="T87" s="14">
        <v>27.231999999999999</v>
      </c>
      <c r="AC87" s="14">
        <v>63.473999999999997</v>
      </c>
      <c r="AD87" s="14">
        <v>68.028999999999996</v>
      </c>
      <c r="AE87" s="14">
        <v>73.546000000000006</v>
      </c>
      <c r="AF87" s="132"/>
    </row>
    <row r="88" spans="1:32" s="14" customFormat="1" x14ac:dyDescent="0.2">
      <c r="B88" s="14" t="s">
        <v>163</v>
      </c>
      <c r="E88" s="31"/>
      <c r="G88" s="31"/>
      <c r="I88" s="31"/>
      <c r="K88" s="31"/>
      <c r="M88" s="31"/>
      <c r="O88" s="31"/>
      <c r="P88" s="14">
        <v>15.523</v>
      </c>
      <c r="Q88" s="31">
        <f>+AD88-P88</f>
        <v>36.212999999999994</v>
      </c>
      <c r="R88" s="14">
        <v>19.669</v>
      </c>
      <c r="S88" s="31"/>
      <c r="T88" s="14">
        <v>8.2080000000000002</v>
      </c>
      <c r="AC88" s="14">
        <f>21.801+7.716</f>
        <v>29.516999999999999</v>
      </c>
      <c r="AD88" s="14">
        <f>37.979+13.757</f>
        <v>51.735999999999997</v>
      </c>
      <c r="AE88" s="14">
        <f>35.815</f>
        <v>35.814999999999998</v>
      </c>
      <c r="AF88" s="132"/>
    </row>
    <row r="89" spans="1:32" s="14" customFormat="1" x14ac:dyDescent="0.2">
      <c r="B89" s="14" t="s">
        <v>162</v>
      </c>
      <c r="E89" s="31"/>
      <c r="G89" s="31"/>
      <c r="I89" s="31"/>
      <c r="K89" s="31"/>
      <c r="M89" s="31"/>
      <c r="O89" s="31"/>
      <c r="P89" s="14">
        <f>+P87-P88</f>
        <v>22.665000000000003</v>
      </c>
      <c r="Q89" s="31">
        <f>+Q87-Q88</f>
        <v>-6.3719999999999999</v>
      </c>
      <c r="R89" s="14">
        <f>+R87-R88</f>
        <v>21.418000000000003</v>
      </c>
      <c r="S89" s="31"/>
      <c r="T89" s="14">
        <f>+T87-T88</f>
        <v>19.024000000000001</v>
      </c>
      <c r="AC89" s="14">
        <f>+AC87-AC88</f>
        <v>33.956999999999994</v>
      </c>
      <c r="AD89" s="14">
        <f>+AD87-AD88</f>
        <v>16.292999999999999</v>
      </c>
      <c r="AE89" s="14">
        <f>+AE87-AE88</f>
        <v>37.731000000000009</v>
      </c>
      <c r="AF89" s="132"/>
    </row>
    <row r="90" spans="1:32" s="3" customFormat="1" x14ac:dyDescent="0.2">
      <c r="B90" s="3" t="s">
        <v>171</v>
      </c>
      <c r="E90" s="61"/>
      <c r="G90" s="61"/>
      <c r="I90" s="61"/>
      <c r="K90" s="61"/>
      <c r="M90" s="61"/>
      <c r="O90" s="61"/>
      <c r="Q90" s="30">
        <f>+Q89+P89</f>
        <v>16.293000000000003</v>
      </c>
      <c r="R90" s="12">
        <f>+R89+Q89</f>
        <v>15.046000000000003</v>
      </c>
      <c r="S90" s="61"/>
      <c r="T90" s="12">
        <f>+T89+S89</f>
        <v>19.024000000000001</v>
      </c>
      <c r="AC90" s="12">
        <f>+AC89</f>
        <v>33.956999999999994</v>
      </c>
      <c r="AD90" s="12">
        <f>+AD89</f>
        <v>16.292999999999999</v>
      </c>
      <c r="AE90" s="12">
        <f>+AE89</f>
        <v>37.731000000000009</v>
      </c>
      <c r="AF90" s="163"/>
    </row>
    <row r="92" spans="1:32" x14ac:dyDescent="0.2">
      <c r="B92" s="1" t="s">
        <v>164</v>
      </c>
      <c r="P92" s="1">
        <f>+P89/P14</f>
        <v>0.13102479116807467</v>
      </c>
      <c r="R92" s="1">
        <f>+R89/R14</f>
        <v>0.12456702301687197</v>
      </c>
      <c r="T92" s="1">
        <f>+T89/T14</f>
        <v>0.11386390549568773</v>
      </c>
      <c r="AC92" s="1">
        <f>+AC89/AC14</f>
        <v>0.19803691223286549</v>
      </c>
      <c r="AD92" s="1">
        <f>+AD89/AD14</f>
        <v>9.4921060842390062E-2</v>
      </c>
      <c r="AE92" s="1">
        <f>+AE89/AE14</f>
        <v>0.22112872255693425</v>
      </c>
    </row>
    <row r="93" spans="1:32" s="159" customFormat="1" x14ac:dyDescent="0.2">
      <c r="B93" s="159" t="s">
        <v>165</v>
      </c>
      <c r="E93" s="160"/>
      <c r="G93" s="160"/>
      <c r="I93" s="160"/>
      <c r="K93" s="160"/>
      <c r="M93" s="160"/>
      <c r="O93" s="160"/>
      <c r="Q93" s="160"/>
      <c r="S93" s="160"/>
      <c r="AC93" s="159">
        <f>+AC74/AC92</f>
        <v>12.497670116618078</v>
      </c>
      <c r="AD93" s="159">
        <f>+AD74/AD92</f>
        <v>32.658716332167195</v>
      </c>
      <c r="AE93" s="159">
        <f>+AE74/AE92</f>
        <v>11.305632172484161</v>
      </c>
      <c r="AF93" s="161"/>
    </row>
  </sheetData>
  <hyperlinks>
    <hyperlink ref="L1" r:id="rId1" xr:uid="{B9683B42-B241-4D1D-8CE0-7A17859DA76B}"/>
    <hyperlink ref="AA1" r:id="rId2" xr:uid="{05878C96-F10F-4982-ACE4-FF132CF4E29A}"/>
    <hyperlink ref="Y1" r:id="rId3" xr:uid="{6765EA13-C896-4C06-BD01-2D2BC5D2014C}"/>
    <hyperlink ref="H1" r:id="rId4" xr:uid="{D3D9ED60-186F-274D-93DB-4D868CA2340E}"/>
    <hyperlink ref="W1" r:id="rId5" xr:uid="{9260496C-E59A-0143-BDFB-5C62E2643276}"/>
    <hyperlink ref="AB1" r:id="rId6" xr:uid="{D7D97D6D-2030-4F4C-B5FB-6BFE0FD9DC61}"/>
    <hyperlink ref="N1" r:id="rId7" xr:uid="{FC756CF2-3D82-4D5D-9DD4-F7502A0327A9}"/>
    <hyperlink ref="AC1" r:id="rId8" xr:uid="{F32AE00E-F68C-4DC8-A21B-34B62D129557}"/>
    <hyperlink ref="AD1" r:id="rId9" xr:uid="{B35589E2-4FBF-4BF6-992E-28697F9BA04E}"/>
    <hyperlink ref="R1" r:id="rId10" xr:uid="{4221C168-55C5-46A2-9210-4788A07DC5BF}"/>
    <hyperlink ref="AG1" r:id="rId11" xr:uid="{FCCF99F3-FFE0-48DF-8AC2-DEF1579E56F7}"/>
    <hyperlink ref="T1" r:id="rId12" xr:uid="{C7A63B76-E990-4E79-9EF1-668A9FBFB6B2}"/>
  </hyperlinks>
  <pageMargins left="0.7" right="0.7" top="0.75" bottom="0.75" header="0.3" footer="0.3"/>
  <pageSetup paperSize="256" orientation="portrait" horizontalDpi="203" verticalDpi="203" r:id="rId13"/>
  <ignoredErrors>
    <ignoredError sqref="K5 K8 K10:K11 I10:I11 I8 I5 G12 G10 G8 G5 M5:M13 AF12 AG11:AU11 O5:O11 Q5:Q14 S4:S14" formula="1"/>
    <ignoredError sqref="AF6" formulaRange="1"/>
  </ignoredErrors>
  <drawing r:id="rId14"/>
  <legacy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A87-1093-914E-B5D4-E893EE3F79A8}">
  <dimension ref="A1:R72"/>
  <sheetViews>
    <sheetView workbookViewId="0">
      <selection activeCell="G41" sqref="G41"/>
    </sheetView>
  </sheetViews>
  <sheetFormatPr defaultColWidth="9.140625" defaultRowHeight="12.75" x14ac:dyDescent="0.2"/>
  <cols>
    <col min="1" max="1" width="9.140625" style="25"/>
    <col min="2" max="2" width="9.140625" style="113"/>
    <col min="3" max="17" width="9.140625" style="1"/>
    <col min="18" max="18" width="9.140625" style="113"/>
    <col min="19" max="16384" width="9.140625" style="1"/>
  </cols>
  <sheetData>
    <row r="1" spans="1:18" x14ac:dyDescent="0.2">
      <c r="A1" s="24" t="s">
        <v>19</v>
      </c>
      <c r="B1" s="97" t="s">
        <v>19</v>
      </c>
      <c r="Q1" s="28" t="s">
        <v>23</v>
      </c>
      <c r="R1" s="114" t="s">
        <v>23</v>
      </c>
    </row>
    <row r="2" spans="1:18" x14ac:dyDescent="0.2">
      <c r="A2" s="35">
        <v>44834</v>
      </c>
      <c r="B2" s="98" t="s">
        <v>67</v>
      </c>
      <c r="Q2" s="22">
        <v>44834</v>
      </c>
      <c r="R2" s="115" t="s">
        <v>67</v>
      </c>
    </row>
    <row r="3" spans="1:18" x14ac:dyDescent="0.2">
      <c r="A3" s="30">
        <v>93.568000000000012</v>
      </c>
      <c r="B3" s="99">
        <v>158.58780000000002</v>
      </c>
      <c r="Q3" s="12">
        <v>193.74100000000001</v>
      </c>
      <c r="R3" s="116">
        <v>258.76080000000002</v>
      </c>
    </row>
    <row r="4" spans="1:18" x14ac:dyDescent="0.2">
      <c r="A4" s="31">
        <v>15.750999999999999</v>
      </c>
      <c r="B4" s="100">
        <v>22.585512000000008</v>
      </c>
      <c r="Q4" s="14">
        <v>29.391999999999999</v>
      </c>
      <c r="R4" s="117">
        <v>36.226512000000007</v>
      </c>
    </row>
    <row r="5" spans="1:18" x14ac:dyDescent="0.2">
      <c r="A5" s="30">
        <v>77.817000000000007</v>
      </c>
      <c r="B5" s="101">
        <v>136.00228800000002</v>
      </c>
      <c r="Q5" s="12">
        <v>164.34900000000002</v>
      </c>
      <c r="R5" s="118">
        <v>222.534288</v>
      </c>
    </row>
    <row r="6" spans="1:18" x14ac:dyDescent="0.2">
      <c r="A6" s="31">
        <v>3.9E-2</v>
      </c>
      <c r="B6" s="100">
        <v>0.4</v>
      </c>
      <c r="Q6" s="14">
        <v>3.9E-2</v>
      </c>
      <c r="R6" s="113">
        <v>0.4</v>
      </c>
    </row>
    <row r="7" spans="1:18" x14ac:dyDescent="0.2">
      <c r="A7" s="31">
        <v>60.022999999999996</v>
      </c>
      <c r="B7" s="100">
        <v>84.6045728</v>
      </c>
      <c r="Q7" s="14">
        <v>108.93899999999999</v>
      </c>
      <c r="R7" s="117">
        <v>133.5205728</v>
      </c>
    </row>
    <row r="8" spans="1:18" x14ac:dyDescent="0.2">
      <c r="A8" s="30">
        <v>17.833000000000013</v>
      </c>
      <c r="B8" s="101">
        <v>51.797715200000027</v>
      </c>
      <c r="Q8" s="12">
        <v>55.449000000000012</v>
      </c>
      <c r="R8" s="118">
        <v>89.413715200000013</v>
      </c>
    </row>
    <row r="9" spans="1:18" x14ac:dyDescent="0.2">
      <c r="A9" s="31">
        <v>4.6049999999999986</v>
      </c>
      <c r="B9" s="100">
        <v>-1.0790000000000002</v>
      </c>
      <c r="Q9" s="14">
        <v>8.7839999999999989</v>
      </c>
      <c r="R9" s="117">
        <v>3.1</v>
      </c>
    </row>
    <row r="10" spans="1:18" x14ac:dyDescent="0.2">
      <c r="A10" s="31">
        <v>13.228000000000014</v>
      </c>
      <c r="B10" s="102">
        <v>52.876715200000028</v>
      </c>
      <c r="Q10" s="14">
        <v>46.665000000000013</v>
      </c>
      <c r="R10" s="119">
        <v>86.313715200000019</v>
      </c>
    </row>
    <row r="11" spans="1:18" x14ac:dyDescent="0.2">
      <c r="A11" s="31">
        <v>2.8020000000000005</v>
      </c>
      <c r="B11" s="100">
        <v>3.9384320000000015</v>
      </c>
      <c r="Q11" s="14">
        <v>9.2140000000000004</v>
      </c>
      <c r="R11" s="117">
        <v>10.350432000000001</v>
      </c>
    </row>
    <row r="12" spans="1:18" x14ac:dyDescent="0.2">
      <c r="A12" s="30">
        <v>10.426000000000013</v>
      </c>
      <c r="B12" s="101">
        <v>48.938283200000029</v>
      </c>
      <c r="Q12" s="12">
        <v>37.451000000000015</v>
      </c>
      <c r="R12" s="118">
        <v>75.963283200000021</v>
      </c>
    </row>
    <row r="13" spans="1:18" x14ac:dyDescent="0.2">
      <c r="A13" s="33">
        <v>6.0988847885565384E-2</v>
      </c>
      <c r="B13" s="103">
        <v>0.29730235065240646</v>
      </c>
      <c r="P13" s="23"/>
      <c r="Q13" s="26">
        <v>0.21907666815291649</v>
      </c>
      <c r="R13" s="120">
        <v>0.46148048484533777</v>
      </c>
    </row>
    <row r="14" spans="1:18" x14ac:dyDescent="0.2">
      <c r="A14" s="32">
        <v>170.949286</v>
      </c>
      <c r="B14" s="100">
        <v>164.60779099999999</v>
      </c>
      <c r="Q14" s="27">
        <v>170.949286</v>
      </c>
      <c r="R14" s="117">
        <v>164.60779099999999</v>
      </c>
    </row>
    <row r="15" spans="1:18" x14ac:dyDescent="0.2">
      <c r="B15" s="104"/>
    </row>
    <row r="16" spans="1:18" x14ac:dyDescent="0.2">
      <c r="A16" s="34">
        <v>0.83166253419972636</v>
      </c>
      <c r="B16" s="105">
        <v>0.857583546779765</v>
      </c>
      <c r="Q16" s="23">
        <v>0.84829230777171583</v>
      </c>
      <c r="R16" s="121">
        <v>0.86</v>
      </c>
    </row>
    <row r="17" spans="1:18" x14ac:dyDescent="0.2">
      <c r="A17" s="34">
        <v>0.19058866279069778</v>
      </c>
      <c r="B17" s="105">
        <v>0.32661853686096926</v>
      </c>
      <c r="Q17" s="23">
        <v>0.28620168162650139</v>
      </c>
      <c r="R17" s="121">
        <v>0.34554582919824023</v>
      </c>
    </row>
    <row r="18" spans="1:18" x14ac:dyDescent="0.2">
      <c r="A18" s="34">
        <v>0.11142698358413144</v>
      </c>
      <c r="B18" s="105">
        <v>0.3085879443437643</v>
      </c>
      <c r="Q18" s="23">
        <v>0.19330446317506367</v>
      </c>
      <c r="R18" s="121">
        <v>0.29356565291187853</v>
      </c>
    </row>
    <row r="19" spans="1:18" x14ac:dyDescent="0.2">
      <c r="A19" s="34">
        <v>0.21182340489869955</v>
      </c>
      <c r="B19" s="105">
        <v>7.4483295437383745E-2</v>
      </c>
      <c r="Q19" s="23">
        <v>0.19744990892531872</v>
      </c>
      <c r="R19" s="121">
        <v>0.11991642320130369</v>
      </c>
    </row>
    <row r="20" spans="1:18" x14ac:dyDescent="0.2">
      <c r="B20" s="104"/>
    </row>
    <row r="21" spans="1:18" x14ac:dyDescent="0.2">
      <c r="A21" s="34">
        <v>0.5227927414761171</v>
      </c>
      <c r="B21" s="105">
        <v>1.5809716006184393</v>
      </c>
      <c r="Q21" s="23">
        <v>1.6954144522663404</v>
      </c>
      <c r="R21" s="121">
        <v>2.6</v>
      </c>
    </row>
    <row r="22" spans="1:18" x14ac:dyDescent="0.2">
      <c r="A22" s="34">
        <v>-6.5935930839647328E-2</v>
      </c>
      <c r="B22" s="105">
        <v>0.58313916923721965</v>
      </c>
      <c r="Q22" s="38" t="s">
        <v>71</v>
      </c>
      <c r="R22" s="122" t="s">
        <v>71</v>
      </c>
    </row>
    <row r="23" spans="1:18" x14ac:dyDescent="0.2">
      <c r="A23" s="34"/>
      <c r="B23" s="105"/>
      <c r="Q23" s="38"/>
      <c r="R23" s="122"/>
    </row>
    <row r="24" spans="1:18" x14ac:dyDescent="0.2">
      <c r="A24" s="34"/>
      <c r="B24" s="105"/>
      <c r="Q24" s="38"/>
      <c r="R24" s="122"/>
    </row>
    <row r="25" spans="1:18" x14ac:dyDescent="0.2">
      <c r="A25" s="53"/>
      <c r="B25" s="106"/>
      <c r="Q25" s="10"/>
      <c r="R25" s="114"/>
    </row>
    <row r="26" spans="1:18" x14ac:dyDescent="0.2">
      <c r="A26" s="34"/>
      <c r="B26" s="105"/>
      <c r="Q26" s="38"/>
      <c r="R26" s="122"/>
    </row>
    <row r="27" spans="1:18" x14ac:dyDescent="0.2">
      <c r="B27" s="104"/>
    </row>
    <row r="28" spans="1:18" x14ac:dyDescent="0.2">
      <c r="A28" s="56"/>
      <c r="B28" s="107"/>
      <c r="Q28" s="52"/>
      <c r="R28" s="123"/>
    </row>
    <row r="29" spans="1:18" x14ac:dyDescent="0.2">
      <c r="A29" s="74"/>
      <c r="B29" s="108"/>
      <c r="Q29" s="80"/>
      <c r="R29" s="124"/>
    </row>
    <row r="30" spans="1:18" x14ac:dyDescent="0.2">
      <c r="A30" s="69"/>
      <c r="B30" s="109"/>
      <c r="Q30" s="70"/>
      <c r="R30" s="125"/>
    </row>
    <row r="31" spans="1:18" x14ac:dyDescent="0.2">
      <c r="A31" s="77"/>
      <c r="B31" s="110"/>
      <c r="Q31" s="75"/>
      <c r="R31" s="126"/>
    </row>
    <row r="32" spans="1:18" x14ac:dyDescent="0.2">
      <c r="B32" s="104"/>
    </row>
    <row r="33" spans="1:18" x14ac:dyDescent="0.2">
      <c r="B33" s="104"/>
    </row>
    <row r="34" spans="1:18" x14ac:dyDescent="0.2">
      <c r="B34" s="104"/>
    </row>
    <row r="35" spans="1:18" x14ac:dyDescent="0.2">
      <c r="A35" s="31"/>
      <c r="B35" s="104"/>
    </row>
    <row r="36" spans="1:18" x14ac:dyDescent="0.2">
      <c r="A36" s="31"/>
      <c r="B36" s="104"/>
    </row>
    <row r="37" spans="1:18" x14ac:dyDescent="0.2">
      <c r="A37" s="31"/>
      <c r="B37" s="104"/>
    </row>
    <row r="38" spans="1:18" x14ac:dyDescent="0.2">
      <c r="A38" s="31"/>
      <c r="B38" s="104"/>
    </row>
    <row r="39" spans="1:18" x14ac:dyDescent="0.2">
      <c r="A39" s="31"/>
      <c r="B39" s="104"/>
    </row>
    <row r="40" spans="1:18" x14ac:dyDescent="0.2">
      <c r="A40" s="30"/>
      <c r="B40" s="111"/>
      <c r="Q40" s="3"/>
      <c r="R40" s="127"/>
    </row>
    <row r="41" spans="1:18" x14ac:dyDescent="0.2">
      <c r="A41" s="31"/>
      <c r="B41" s="104"/>
    </row>
    <row r="42" spans="1:18" x14ac:dyDescent="0.2">
      <c r="A42" s="31"/>
      <c r="B42" s="104"/>
    </row>
    <row r="43" spans="1:18" x14ac:dyDescent="0.2">
      <c r="A43" s="31"/>
      <c r="B43" s="104"/>
    </row>
    <row r="44" spans="1:18" x14ac:dyDescent="0.2">
      <c r="A44" s="31"/>
      <c r="B44" s="104"/>
    </row>
    <row r="45" spans="1:18" x14ac:dyDescent="0.2">
      <c r="A45" s="31"/>
      <c r="B45" s="104"/>
    </row>
    <row r="46" spans="1:18" x14ac:dyDescent="0.2">
      <c r="A46" s="31"/>
      <c r="B46" s="104"/>
    </row>
    <row r="47" spans="1:18" x14ac:dyDescent="0.2">
      <c r="A47" s="31"/>
      <c r="B47" s="104"/>
    </row>
    <row r="48" spans="1:18" x14ac:dyDescent="0.2">
      <c r="A48" s="31"/>
      <c r="B48" s="104"/>
    </row>
    <row r="49" spans="1:18" x14ac:dyDescent="0.2">
      <c r="A49" s="30"/>
      <c r="B49" s="111"/>
      <c r="Q49" s="3"/>
      <c r="R49" s="127"/>
    </row>
    <row r="50" spans="1:18" x14ac:dyDescent="0.2">
      <c r="A50" s="31"/>
      <c r="B50" s="104"/>
    </row>
    <row r="51" spans="1:18" x14ac:dyDescent="0.2">
      <c r="A51" s="31"/>
      <c r="B51" s="104"/>
    </row>
    <row r="52" spans="1:18" x14ac:dyDescent="0.2">
      <c r="A52" s="31"/>
      <c r="B52" s="104"/>
    </row>
    <row r="53" spans="1:18" x14ac:dyDescent="0.2">
      <c r="A53" s="30"/>
      <c r="B53" s="111"/>
      <c r="Q53" s="3"/>
      <c r="R53" s="127"/>
    </row>
    <row r="54" spans="1:18" x14ac:dyDescent="0.2">
      <c r="A54" s="31"/>
      <c r="B54" s="104"/>
    </row>
    <row r="55" spans="1:18" x14ac:dyDescent="0.2">
      <c r="A55" s="31"/>
      <c r="B55" s="104"/>
    </row>
    <row r="56" spans="1:18" x14ac:dyDescent="0.2">
      <c r="B56" s="104"/>
    </row>
    <row r="57" spans="1:18" x14ac:dyDescent="0.2">
      <c r="A57" s="31"/>
      <c r="B57" s="104"/>
    </row>
    <row r="58" spans="1:18" x14ac:dyDescent="0.2">
      <c r="A58" s="31"/>
      <c r="B58" s="104"/>
    </row>
    <row r="59" spans="1:18" x14ac:dyDescent="0.2">
      <c r="B59" s="104"/>
    </row>
    <row r="60" spans="1:18" x14ac:dyDescent="0.2">
      <c r="A60" s="31"/>
      <c r="B60" s="104"/>
    </row>
    <row r="61" spans="1:18" x14ac:dyDescent="0.2">
      <c r="B61" s="104"/>
    </row>
    <row r="62" spans="1:18" x14ac:dyDescent="0.2">
      <c r="B62" s="104"/>
    </row>
    <row r="63" spans="1:18" x14ac:dyDescent="0.2">
      <c r="B63" s="104"/>
    </row>
    <row r="64" spans="1:18" x14ac:dyDescent="0.2">
      <c r="A64" s="95"/>
      <c r="B64" s="112"/>
      <c r="Q64" s="94"/>
      <c r="R64" s="128"/>
    </row>
    <row r="65" spans="2:2" x14ac:dyDescent="0.2">
      <c r="B65" s="104"/>
    </row>
    <row r="66" spans="2:2" x14ac:dyDescent="0.2">
      <c r="B66" s="104"/>
    </row>
    <row r="67" spans="2:2" x14ac:dyDescent="0.2">
      <c r="B67" s="104"/>
    </row>
    <row r="68" spans="2:2" x14ac:dyDescent="0.2">
      <c r="B68" s="104"/>
    </row>
    <row r="69" spans="2:2" x14ac:dyDescent="0.2">
      <c r="B69" s="104"/>
    </row>
    <row r="70" spans="2:2" x14ac:dyDescent="0.2">
      <c r="B70" s="104"/>
    </row>
    <row r="71" spans="2:2" x14ac:dyDescent="0.2">
      <c r="B71" s="104"/>
    </row>
    <row r="72" spans="2:2" x14ac:dyDescent="0.2">
      <c r="B72" s="104"/>
    </row>
  </sheetData>
  <hyperlinks>
    <hyperlink ref="Q1" r:id="rId1" xr:uid="{3C5B4340-AAC9-3548-AD3D-C0BD764B3230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Financial Model</vt:lpstr>
      <vt:lpstr>Historical 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Charlie H</cp:lastModifiedBy>
  <dcterms:created xsi:type="dcterms:W3CDTF">2022-07-04T18:22:12Z</dcterms:created>
  <dcterms:modified xsi:type="dcterms:W3CDTF">2026-05-27T22:16:38Z</dcterms:modified>
</cp:coreProperties>
</file>